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20" windowWidth="16335" windowHeight="7200" activeTab="2"/>
  </bookViews>
  <sheets>
    <sheet name="Asignación De Discos 1" sheetId="1" r:id="rId1"/>
    <sheet name="Asignación De Discos 2" sheetId="2" r:id="rId2"/>
    <sheet name="Parametros Discos Symmetrix" sheetId="4" r:id="rId3"/>
    <sheet name="Parametros Discos Clariion" sheetId="3" r:id="rId4"/>
    <sheet name="Hoja1" sheetId="5" r:id="rId5"/>
  </sheets>
  <definedNames>
    <definedName name="W3038c" localSheetId="2">'Parametros Discos Symmetrix'!#REF!</definedName>
  </definedNames>
  <calcPr calcId="145621"/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3" i="4"/>
  <c r="E32" i="2"/>
  <c r="E21" i="3"/>
  <c r="E32" i="1"/>
  <c r="E39" i="1"/>
  <c r="E27" i="3"/>
  <c r="E26" i="3"/>
  <c r="E25" i="3"/>
  <c r="E24" i="3"/>
  <c r="E23" i="3"/>
  <c r="E22" i="3"/>
  <c r="E18" i="3"/>
  <c r="E17" i="3"/>
  <c r="E16" i="3"/>
  <c r="E15" i="3"/>
  <c r="E14" i="3"/>
  <c r="E13" i="3"/>
  <c r="E12" i="3"/>
  <c r="E9" i="3"/>
  <c r="E8" i="3"/>
  <c r="E7" i="3"/>
  <c r="E6" i="3"/>
  <c r="E5" i="3"/>
  <c r="E4" i="3"/>
  <c r="E3" i="3"/>
  <c r="E22" i="4"/>
  <c r="E23" i="4"/>
  <c r="E24" i="4"/>
  <c r="E25" i="4"/>
  <c r="E26" i="4"/>
  <c r="E27" i="4"/>
  <c r="E21" i="4"/>
  <c r="E13" i="4"/>
  <c r="E14" i="4"/>
  <c r="E15" i="4"/>
  <c r="E16" i="4"/>
  <c r="E17" i="4"/>
  <c r="E18" i="4"/>
  <c r="E12" i="4"/>
  <c r="E33" i="2" l="1"/>
  <c r="E35" i="1"/>
  <c r="D25" i="1"/>
  <c r="D18" i="1"/>
  <c r="E38" i="1"/>
  <c r="E33" i="1"/>
  <c r="D31" i="1" l="1"/>
  <c r="D30" i="1"/>
  <c r="D29" i="1"/>
  <c r="D28" i="1"/>
  <c r="D27" i="1"/>
  <c r="D26" i="1"/>
  <c r="D24" i="1"/>
  <c r="D23" i="1"/>
  <c r="D22" i="1"/>
  <c r="D21" i="1"/>
  <c r="D20" i="1"/>
  <c r="D19" i="1"/>
  <c r="E38" i="2"/>
  <c r="E45" i="1"/>
  <c r="E44" i="1"/>
  <c r="E43" i="1"/>
  <c r="E42" i="1"/>
  <c r="E41" i="1"/>
  <c r="E40" i="1"/>
  <c r="E37" i="1"/>
  <c r="E36" i="1"/>
  <c r="E34" i="1"/>
  <c r="E46" i="2" l="1"/>
  <c r="E45" i="2"/>
  <c r="E44" i="2"/>
  <c r="E43" i="2"/>
  <c r="E42" i="2"/>
  <c r="E41" i="2"/>
  <c r="E40" i="2"/>
  <c r="E39" i="2"/>
  <c r="E37" i="2"/>
  <c r="E36" i="2"/>
  <c r="E35" i="2"/>
  <c r="E34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E46" i="1"/>
</calcChain>
</file>

<file path=xl/sharedStrings.xml><?xml version="1.0" encoding="utf-8"?>
<sst xmlns="http://schemas.openxmlformats.org/spreadsheetml/2006/main" count="542" uniqueCount="192">
  <si>
    <t xml:space="preserve">chdev -dev </t>
  </si>
  <si>
    <t xml:space="preserve"> -attr reserve_lock=no</t>
  </si>
  <si>
    <t xml:space="preserve">mkvdev -vdev </t>
  </si>
  <si>
    <t xml:space="preserve"> -vadapter vhost</t>
  </si>
  <si>
    <t xml:space="preserve"> -dev </t>
  </si>
  <si>
    <t>HDISKPOWER</t>
  </si>
  <si>
    <t>NUMERO DEL VHOST</t>
  </si>
  <si>
    <t>NOM VHOST</t>
  </si>
  <si>
    <t>NOM CON DISCO</t>
  </si>
  <si>
    <t>NOMDISCO (VTD)</t>
  </si>
  <si>
    <t xml:space="preserve">chdev -l </t>
  </si>
  <si>
    <t xml:space="preserve"> -a hcheck_interval=60 </t>
  </si>
  <si>
    <t xml:space="preserve"> -a queue_depth=16</t>
  </si>
  <si>
    <t xml:space="preserve"> -a hcheck_mode=nonactive</t>
  </si>
  <si>
    <t xml:space="preserve"> -a queue_depth=20</t>
  </si>
  <si>
    <t>EN LA PARTICION</t>
  </si>
  <si>
    <t>hdisk0</t>
  </si>
  <si>
    <t>hdisk1</t>
  </si>
  <si>
    <t>hdisk2</t>
  </si>
  <si>
    <t>hdisk3</t>
  </si>
  <si>
    <t>hdisk4</t>
  </si>
  <si>
    <t>hdiskpower</t>
  </si>
  <si>
    <t>Tamaño</t>
  </si>
  <si>
    <t>Tipo/Almto</t>
  </si>
  <si>
    <t>VMAX LUN</t>
  </si>
  <si>
    <t>LUNS DMX</t>
  </si>
  <si>
    <t>hdisk</t>
  </si>
  <si>
    <t>id disco</t>
  </si>
  <si>
    <t>VG</t>
  </si>
  <si>
    <t>hdiskpower560</t>
  </si>
  <si>
    <t>01A6</t>
  </si>
  <si>
    <t>082A</t>
  </si>
  <si>
    <t>hdisk9</t>
  </si>
  <si>
    <t>00ce08d4dd5f4a02</t>
  </si>
  <si>
    <t>pprs02opkvg</t>
  </si>
  <si>
    <t>hdiskpower559</t>
  </si>
  <si>
    <t>01A8</t>
  </si>
  <si>
    <t>054D</t>
  </si>
  <si>
    <t>hdisk8</t>
  </si>
  <si>
    <t>00ce08d4e463a351</t>
  </si>
  <si>
    <t>rootvg</t>
  </si>
  <si>
    <t>hdiskpower558</t>
  </si>
  <si>
    <t>01A7</t>
  </si>
  <si>
    <t>hdisk7</t>
  </si>
  <si>
    <t>00c719d4ddc3a8b0</t>
  </si>
  <si>
    <t>wrkdirr1</t>
  </si>
  <si>
    <t>hdiskpower562</t>
  </si>
  <si>
    <t>01B9</t>
  </si>
  <si>
    <t>hdisk6</t>
  </si>
  <si>
    <t>none</t>
  </si>
  <si>
    <t>tb4</t>
  </si>
  <si>
    <t>hdiskpower561</t>
  </si>
  <si>
    <t>01BE</t>
  </si>
  <si>
    <t>hdisk5</t>
  </si>
  <si>
    <t>tb3</t>
  </si>
  <si>
    <t>Nuevo Hdisk</t>
  </si>
  <si>
    <t>PBMDEAPPRS02</t>
  </si>
  <si>
    <t>TAMAÑO</t>
  </si>
  <si>
    <t>TIPO ALMACENAMIENTO</t>
  </si>
  <si>
    <t>LUN DMX</t>
  </si>
  <si>
    <t>HDISK</t>
  </si>
  <si>
    <t>ID LPAR</t>
  </si>
  <si>
    <t>hdiskpower722</t>
  </si>
  <si>
    <t>hdiskpower721</t>
  </si>
  <si>
    <t>hdiskpower720</t>
  </si>
  <si>
    <t>hdiskpower21</t>
  </si>
  <si>
    <t>00ce08c4e4152f42</t>
  </si>
  <si>
    <t>hdiskpower20</t>
  </si>
  <si>
    <t>05BF</t>
  </si>
  <si>
    <t>00c719a4cfd47e81</t>
  </si>
  <si>
    <t>pprs01opkvg</t>
  </si>
  <si>
    <t>PBMDEAPPRS01</t>
  </si>
  <si>
    <t>pbmdeapdst03</t>
  </si>
  <si>
    <t>hdisk19</t>
  </si>
  <si>
    <t>hdisk20</t>
  </si>
  <si>
    <t>hdisk21</t>
  </si>
  <si>
    <t>hdisk22</t>
  </si>
  <si>
    <t>hdisk23</t>
  </si>
  <si>
    <t>hdisk24</t>
  </si>
  <si>
    <t>hdisk25</t>
  </si>
  <si>
    <t>hdisk26</t>
  </si>
  <si>
    <t>VMAX META</t>
  </si>
  <si>
    <t>LUN</t>
  </si>
  <si>
    <t>hdiskpower1</t>
  </si>
  <si>
    <t>08A6</t>
  </si>
  <si>
    <t>05BD</t>
  </si>
  <si>
    <t>00ce08c4965eedf4</t>
  </si>
  <si>
    <t>oraclevg</t>
  </si>
  <si>
    <t>hdiskpower3</t>
  </si>
  <si>
    <t>07A1</t>
  </si>
  <si>
    <t>00c719a473c5683a</t>
  </si>
  <si>
    <t>hubvg</t>
  </si>
  <si>
    <t>hdiskpower10</t>
  </si>
  <si>
    <t>073F</t>
  </si>
  <si>
    <t>00ce08d4d31f68df</t>
  </si>
  <si>
    <t>opkvg</t>
  </si>
  <si>
    <t>hdiskpower9</t>
  </si>
  <si>
    <t>07D4</t>
  </si>
  <si>
    <t>00ce08d4d31c5da3</t>
  </si>
  <si>
    <t>interfacesvg</t>
  </si>
  <si>
    <t>hdiskpower8</t>
  </si>
  <si>
    <t>07C8</t>
  </si>
  <si>
    <t>00ce08d4d316b444</t>
  </si>
  <si>
    <t>proyectosvg</t>
  </si>
  <si>
    <t>hdiskpower5</t>
  </si>
  <si>
    <t>07B8</t>
  </si>
  <si>
    <t>00ce08d4d2aba454</t>
  </si>
  <si>
    <t>scratch2vg</t>
  </si>
  <si>
    <t>hdiskpower4</t>
  </si>
  <si>
    <t>07B3</t>
  </si>
  <si>
    <t>00ce08d43636285f</t>
  </si>
  <si>
    <t>scratch1vg</t>
  </si>
  <si>
    <t>hdiskpower2</t>
  </si>
  <si>
    <t>089A</t>
  </si>
  <si>
    <t>05F8</t>
  </si>
  <si>
    <t>00c719d4d2d57e9e</t>
  </si>
  <si>
    <t>pbmdeapdst04</t>
  </si>
  <si>
    <t xml:space="preserve">hdisk9 </t>
  </si>
  <si>
    <t>hdisk10</t>
  </si>
  <si>
    <t>hdisk11</t>
  </si>
  <si>
    <t>hdisk12</t>
  </si>
  <si>
    <t>hdisk13</t>
  </si>
  <si>
    <t>hdisk14</t>
  </si>
  <si>
    <t>hdisk15</t>
  </si>
  <si>
    <t>hdisk16</t>
  </si>
  <si>
    <t>hdiskpower17</t>
  </si>
  <si>
    <t>034B</t>
  </si>
  <si>
    <t>00ce08d4536d9a98</t>
  </si>
  <si>
    <t>dboraundovg</t>
  </si>
  <si>
    <t>hdiskpower16</t>
  </si>
  <si>
    <t>018E</t>
  </si>
  <si>
    <t>00c719a473c2d0df</t>
  </si>
  <si>
    <t>dboraredovg</t>
  </si>
  <si>
    <t>hdiskpower15</t>
  </si>
  <si>
    <t>085A</t>
  </si>
  <si>
    <t>07A3</t>
  </si>
  <si>
    <t>00ce08d45364bd12</t>
  </si>
  <si>
    <t>dboradatavg</t>
  </si>
  <si>
    <t>hdiskpower14</t>
  </si>
  <si>
    <t>034C</t>
  </si>
  <si>
    <t>019D</t>
  </si>
  <si>
    <t>00ce08d45360c3a5</t>
  </si>
  <si>
    <t>dboraarchivevg</t>
  </si>
  <si>
    <t>hdiskpower13</t>
  </si>
  <si>
    <t>018F</t>
  </si>
  <si>
    <t>00ce08d4535d20c1</t>
  </si>
  <si>
    <t>dboraadminvg</t>
  </si>
  <si>
    <t>hdiskpower18</t>
  </si>
  <si>
    <t>034F</t>
  </si>
  <si>
    <t>07EB</t>
  </si>
  <si>
    <t>00ce08d45358ef7d</t>
  </si>
  <si>
    <t>hdiskpower12</t>
  </si>
  <si>
    <t>07DF</t>
  </si>
  <si>
    <t>00ce08d4d3abf06b</t>
  </si>
  <si>
    <t>hdiskpower11</t>
  </si>
  <si>
    <t>08A1</t>
  </si>
  <si>
    <t>07AB</t>
  </si>
  <si>
    <t>00ce08c4d45c99df</t>
  </si>
  <si>
    <t>hdiskpower192</t>
  </si>
  <si>
    <t>hdiskpower193</t>
  </si>
  <si>
    <t>PBMDEBPFIN04</t>
  </si>
  <si>
    <t>pfin04_rootvg</t>
  </si>
  <si>
    <t>pfin04_hdisk1</t>
  </si>
  <si>
    <t>pfin04_hdisk2</t>
  </si>
  <si>
    <t>pfin04_hdisk3</t>
  </si>
  <si>
    <t>hdiskpower190</t>
  </si>
  <si>
    <t>hdiskpower191</t>
  </si>
  <si>
    <t>188A</t>
  </si>
  <si>
    <t>18DB</t>
  </si>
  <si>
    <t>192D</t>
  </si>
  <si>
    <t>025D</t>
  </si>
  <si>
    <t>hdiskpower326</t>
  </si>
  <si>
    <t>hdiskpower412</t>
  </si>
  <si>
    <t>hdiskpower339</t>
  </si>
  <si>
    <t>hdiskpower542</t>
  </si>
  <si>
    <t>hdiskpower323</t>
  </si>
  <si>
    <t>hdiskpower322</t>
  </si>
  <si>
    <t>hdiskpower338</t>
  </si>
  <si>
    <t>hdiskpower325</t>
  </si>
  <si>
    <t>hdiskpower411</t>
  </si>
  <si>
    <t>hdiskpower321</t>
  </si>
  <si>
    <t>pbmdeaptar06</t>
  </si>
  <si>
    <t>ptar06_disk4</t>
  </si>
  <si>
    <t>ptar06_disk5</t>
  </si>
  <si>
    <t>ptar06_disk6</t>
  </si>
  <si>
    <t>ptar06_disk7</t>
  </si>
  <si>
    <t>ptar06_disk8</t>
  </si>
  <si>
    <t xml:space="preserve">hdisk4 </t>
  </si>
  <si>
    <t xml:space="preserve">hdisk5 </t>
  </si>
  <si>
    <t xml:space="preserve">hdisk6 </t>
  </si>
  <si>
    <t xml:space="preserve">hdisk7 </t>
  </si>
  <si>
    <t xml:space="preserve">hdisk8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</si>
</sst>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538E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97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1" applyFont="1"/>
    <xf numFmtId="0" fontId="2" fillId="0" borderId="0" xfId="2"/>
    <xf numFmtId="0" fontId="2" fillId="0" borderId="0" xfId="3"/>
    <xf numFmtId="0" fontId="2" fillId="0" borderId="0" xfId="4"/>
    <xf numFmtId="0" fontId="0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2" fillId="3" borderId="1" xfId="1" applyFont="1" applyFill="1" applyBorder="1"/>
    <xf numFmtId="0" fontId="2" fillId="4" borderId="1" xfId="1" applyNumberFormat="1" applyFont="1" applyFill="1" applyBorder="1"/>
    <xf numFmtId="0" fontId="2" fillId="4" borderId="1" xfId="1" applyFont="1" applyFill="1" applyBorder="1" applyAlignment="1">
      <alignment horizontal="center"/>
    </xf>
    <xf numFmtId="49" fontId="2" fillId="3" borderId="1" xfId="1" applyNumberFormat="1" applyFill="1" applyBorder="1"/>
    <xf numFmtId="0" fontId="2" fillId="3" borderId="1" xfId="1" applyFill="1" applyBorder="1" applyAlignment="1">
      <alignment horizontal="center"/>
    </xf>
    <xf numFmtId="0" fontId="2" fillId="0" borderId="0" xfId="4" applyFill="1"/>
    <xf numFmtId="0" fontId="2" fillId="5" borderId="1" xfId="1" applyNumberFormat="1" applyFont="1" applyFill="1" applyBorder="1"/>
    <xf numFmtId="0" fontId="2" fillId="5" borderId="1" xfId="1" applyFont="1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Border="1"/>
    <xf numFmtId="49" fontId="2" fillId="3" borderId="1" xfId="1" applyNumberFormat="1" applyFill="1" applyBorder="1" applyAlignment="1">
      <alignment horizontal="center"/>
    </xf>
    <xf numFmtId="3" fontId="0" fillId="0" borderId="0" xfId="0" applyNumberFormat="1"/>
    <xf numFmtId="43" fontId="0" fillId="0" borderId="0" xfId="23" applyFont="1"/>
    <xf numFmtId="0" fontId="2" fillId="5" borderId="1" xfId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0" fontId="2" fillId="4" borderId="1" xfId="1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2" fillId="0" borderId="0" xfId="13" applyFont="1" applyAlignment="1">
      <alignment horizontal="center"/>
    </xf>
    <xf numFmtId="0" fontId="2" fillId="0" borderId="0" xfId="4" applyFill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/>
    <xf numFmtId="0" fontId="0" fillId="6" borderId="1" xfId="0" applyNumberFormat="1" applyFill="1" applyBorder="1" applyAlignment="1">
      <alignment horizontal="center"/>
    </xf>
    <xf numFmtId="0" fontId="2" fillId="5" borderId="1" xfId="1" applyNumberFormat="1" applyFont="1" applyFill="1" applyBorder="1" applyAlignment="1">
      <alignment horizontal="center"/>
    </xf>
    <xf numFmtId="0" fontId="2" fillId="3" borderId="1" xfId="1" applyNumberFormat="1" applyFont="1" applyFill="1" applyBorder="1" applyAlignment="1">
      <alignment horizontal="center"/>
    </xf>
    <xf numFmtId="0" fontId="2" fillId="0" borderId="0" xfId="13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7" borderId="2" xfId="0" applyFont="1" applyFill="1" applyBorder="1"/>
    <xf numFmtId="0" fontId="6" fillId="7" borderId="3" xfId="0" applyFont="1" applyFill="1" applyBorder="1"/>
    <xf numFmtId="0" fontId="7" fillId="0" borderId="4" xfId="0" applyFont="1" applyBorder="1"/>
    <xf numFmtId="0" fontId="7" fillId="0" borderId="5" xfId="0" applyFont="1" applyBorder="1" applyAlignment="1">
      <alignment horizontal="right"/>
    </xf>
    <xf numFmtId="0" fontId="7" fillId="4" borderId="5" xfId="0" applyFont="1" applyFill="1" applyBorder="1"/>
    <xf numFmtId="0" fontId="7" fillId="0" borderId="5" xfId="0" applyFont="1" applyBorder="1"/>
    <xf numFmtId="0" fontId="7" fillId="8" borderId="5" xfId="0" applyFont="1" applyFill="1" applyBorder="1"/>
    <xf numFmtId="0" fontId="7" fillId="8" borderId="5" xfId="0" applyFont="1" applyFill="1" applyBorder="1" applyAlignment="1">
      <alignment horizontal="right"/>
    </xf>
    <xf numFmtId="0" fontId="6" fillId="7" borderId="3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9" borderId="0" xfId="0" applyFont="1" applyFill="1" applyAlignment="1">
      <alignment horizontal="right"/>
    </xf>
    <xf numFmtId="0" fontId="7" fillId="8" borderId="2" xfId="0" applyFont="1" applyFill="1" applyBorder="1"/>
    <xf numFmtId="0" fontId="7" fillId="9" borderId="2" xfId="0" applyFont="1" applyFill="1" applyBorder="1"/>
    <xf numFmtId="0" fontId="7" fillId="8" borderId="2" xfId="0" applyFont="1" applyFill="1" applyBorder="1" applyAlignment="1">
      <alignment horizontal="right"/>
    </xf>
    <xf numFmtId="0" fontId="8" fillId="10" borderId="2" xfId="0" applyFont="1" applyFill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2" fillId="3" borderId="1" xfId="1" applyNumberFormat="1" applyFont="1" applyFill="1" applyBorder="1" applyAlignment="1">
      <alignment horizontal="right"/>
    </xf>
    <xf numFmtId="0" fontId="7" fillId="9" borderId="2" xfId="0" applyFont="1" applyFill="1" applyBorder="1" applyAlignment="1">
      <alignment horizontal="right"/>
    </xf>
    <xf numFmtId="0" fontId="7" fillId="9" borderId="3" xfId="0" applyFont="1" applyFill="1" applyBorder="1"/>
    <xf numFmtId="0" fontId="2" fillId="0" borderId="0" xfId="4" applyFill="1" applyBorder="1" applyAlignment="1">
      <alignment horizontal="center"/>
    </xf>
    <xf numFmtId="0" fontId="7" fillId="0" borderId="0" xfId="0" applyFont="1"/>
    <xf numFmtId="4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24">
    <cellStyle name="Millares" xfId="23" builtinId="3"/>
    <cellStyle name="Normal" xfId="0" builtinId="0"/>
    <cellStyle name="Normal 10" xfId="13"/>
    <cellStyle name="Normal 14" xfId="22"/>
    <cellStyle name="Normal 2" xfId="1"/>
    <cellStyle name="Normal 2 10" xfId="19"/>
    <cellStyle name="Normal 2 11" xfId="21"/>
    <cellStyle name="Normal 2 2" xfId="5"/>
    <cellStyle name="Normal 2 2 2" xfId="6"/>
    <cellStyle name="Normal 2 2 3" xfId="12"/>
    <cellStyle name="Normal 2 2 4" xfId="15"/>
    <cellStyle name="Normal 2 2 5" xfId="16"/>
    <cellStyle name="Normal 2 2 6" xfId="18"/>
    <cellStyle name="Normal 2 2 7" xfId="20"/>
    <cellStyle name="Normal 2 3" xfId="7"/>
    <cellStyle name="Normal 2 4" xfId="8"/>
    <cellStyle name="Normal 2 5" xfId="9"/>
    <cellStyle name="Normal 2 6" xfId="10"/>
    <cellStyle name="Normal 2 7" xfId="11"/>
    <cellStyle name="Normal 2 8" xfId="14"/>
    <cellStyle name="Normal 2 9" xfId="17"/>
    <cellStyle name="Normal 4" xfId="2"/>
    <cellStyle name="Normal 6" xfId="3"/>
    <cellStyle name="Normal 7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4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81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5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762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5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143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123825</xdr:colOff>
      <xdr:row>20</xdr:row>
      <xdr:rowOff>114300</xdr:rowOff>
    </xdr:to>
    <xdr:pic>
      <xdr:nvPicPr>
        <xdr:cNvPr id="205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81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123825</xdr:colOff>
      <xdr:row>5</xdr:row>
      <xdr:rowOff>114300</xdr:rowOff>
    </xdr:to>
    <xdr:pic>
      <xdr:nvPicPr>
        <xdr:cNvPr id="205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762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123825</xdr:colOff>
      <xdr:row>6</xdr:row>
      <xdr:rowOff>114300</xdr:rowOff>
    </xdr:to>
    <xdr:pic>
      <xdr:nvPicPr>
        <xdr:cNvPr id="205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143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123825</xdr:colOff>
      <xdr:row>7</xdr:row>
      <xdr:rowOff>114300</xdr:rowOff>
    </xdr:to>
    <xdr:pic>
      <xdr:nvPicPr>
        <xdr:cNvPr id="205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123825</xdr:colOff>
      <xdr:row>8</xdr:row>
      <xdr:rowOff>114300</xdr:rowOff>
    </xdr:to>
    <xdr:pic>
      <xdr:nvPicPr>
        <xdr:cNvPr id="205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905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5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286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5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667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5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048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6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429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06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3810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123825</xdr:colOff>
      <xdr:row>18</xdr:row>
      <xdr:rowOff>114300</xdr:rowOff>
    </xdr:to>
    <xdr:pic>
      <xdr:nvPicPr>
        <xdr:cNvPr id="1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60032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123825</xdr:colOff>
      <xdr:row>19</xdr:row>
      <xdr:rowOff>114300</xdr:rowOff>
    </xdr:to>
    <xdr:pic>
      <xdr:nvPicPr>
        <xdr:cNvPr id="1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80035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60007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8001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123825</xdr:colOff>
      <xdr:row>10</xdr:row>
      <xdr:rowOff>114300</xdr:rowOff>
    </xdr:to>
    <xdr:pic>
      <xdr:nvPicPr>
        <xdr:cNvPr id="1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00012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123825</xdr:colOff>
      <xdr:row>11</xdr:row>
      <xdr:rowOff>114300</xdr:rowOff>
    </xdr:to>
    <xdr:pic>
      <xdr:nvPicPr>
        <xdr:cNvPr id="2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20015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123825</xdr:colOff>
      <xdr:row>12</xdr:row>
      <xdr:rowOff>114300</xdr:rowOff>
    </xdr:to>
    <xdr:pic>
      <xdr:nvPicPr>
        <xdr:cNvPr id="2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40017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123825</xdr:colOff>
      <xdr:row>13</xdr:row>
      <xdr:rowOff>114300</xdr:rowOff>
    </xdr:to>
    <xdr:pic>
      <xdr:nvPicPr>
        <xdr:cNvPr id="2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6002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123825</xdr:colOff>
      <xdr:row>14</xdr:row>
      <xdr:rowOff>114300</xdr:rowOff>
    </xdr:to>
    <xdr:pic>
      <xdr:nvPicPr>
        <xdr:cNvPr id="2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180022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123825</xdr:colOff>
      <xdr:row>15</xdr:row>
      <xdr:rowOff>114300</xdr:rowOff>
    </xdr:to>
    <xdr:pic>
      <xdr:nvPicPr>
        <xdr:cNvPr id="2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00025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123825</xdr:colOff>
      <xdr:row>16</xdr:row>
      <xdr:rowOff>114300</xdr:rowOff>
    </xdr:to>
    <xdr:pic>
      <xdr:nvPicPr>
        <xdr:cNvPr id="2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200275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123825</xdr:colOff>
      <xdr:row>17</xdr:row>
      <xdr:rowOff>114300</xdr:rowOff>
    </xdr:to>
    <xdr:pic>
      <xdr:nvPicPr>
        <xdr:cNvPr id="2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0" y="24003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123825</xdr:colOff>
      <xdr:row>21</xdr:row>
      <xdr:rowOff>114300</xdr:rowOff>
    </xdr:to>
    <xdr:pic>
      <xdr:nvPicPr>
        <xdr:cNvPr id="2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123825</xdr:colOff>
      <xdr:row>22</xdr:row>
      <xdr:rowOff>114300</xdr:rowOff>
    </xdr:to>
    <xdr:pic>
      <xdr:nvPicPr>
        <xdr:cNvPr id="2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123825</xdr:colOff>
      <xdr:row>23</xdr:row>
      <xdr:rowOff>114300</xdr:rowOff>
    </xdr:to>
    <xdr:pic>
      <xdr:nvPicPr>
        <xdr:cNvPr id="2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123825</xdr:colOff>
      <xdr:row>24</xdr:row>
      <xdr:rowOff>114300</xdr:rowOff>
    </xdr:to>
    <xdr:pic>
      <xdr:nvPicPr>
        <xdr:cNvPr id="3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123825</xdr:colOff>
      <xdr:row>25</xdr:row>
      <xdr:rowOff>114300</xdr:rowOff>
    </xdr:to>
    <xdr:pic>
      <xdr:nvPicPr>
        <xdr:cNvPr id="3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123825</xdr:colOff>
      <xdr:row>26</xdr:row>
      <xdr:rowOff>114300</xdr:rowOff>
    </xdr:to>
    <xdr:pic>
      <xdr:nvPicPr>
        <xdr:cNvPr id="3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190500"/>
          <a:ext cx="123825" cy="1143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123825</xdr:colOff>
      <xdr:row>20</xdr:row>
      <xdr:rowOff>114300</xdr:rowOff>
    </xdr:to>
    <xdr:pic>
      <xdr:nvPicPr>
        <xdr:cNvPr id="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3619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123825</xdr:colOff>
      <xdr:row>5</xdr:row>
      <xdr:rowOff>114300</xdr:rowOff>
    </xdr:to>
    <xdr:pic>
      <xdr:nvPicPr>
        <xdr:cNvPr id="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762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123825</xdr:colOff>
      <xdr:row>6</xdr:row>
      <xdr:rowOff>114300</xdr:rowOff>
    </xdr:to>
    <xdr:pic>
      <xdr:nvPicPr>
        <xdr:cNvPr id="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952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123825</xdr:colOff>
      <xdr:row>7</xdr:row>
      <xdr:rowOff>114300</xdr:rowOff>
    </xdr:to>
    <xdr:pic>
      <xdr:nvPicPr>
        <xdr:cNvPr id="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143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123825</xdr:colOff>
      <xdr:row>8</xdr:row>
      <xdr:rowOff>114300</xdr:rowOff>
    </xdr:to>
    <xdr:pic>
      <xdr:nvPicPr>
        <xdr:cNvPr id="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333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123825</xdr:colOff>
      <xdr:row>18</xdr:row>
      <xdr:rowOff>114300</xdr:rowOff>
    </xdr:to>
    <xdr:pic>
      <xdr:nvPicPr>
        <xdr:cNvPr id="1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3238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123825</xdr:colOff>
      <xdr:row>19</xdr:row>
      <xdr:rowOff>114300</xdr:rowOff>
    </xdr:to>
    <xdr:pic>
      <xdr:nvPicPr>
        <xdr:cNvPr id="1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3429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123825</xdr:colOff>
      <xdr:row>9</xdr:row>
      <xdr:rowOff>114300</xdr:rowOff>
    </xdr:to>
    <xdr:pic>
      <xdr:nvPicPr>
        <xdr:cNvPr id="1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123825</xdr:colOff>
      <xdr:row>10</xdr:row>
      <xdr:rowOff>114300</xdr:rowOff>
    </xdr:to>
    <xdr:pic>
      <xdr:nvPicPr>
        <xdr:cNvPr id="1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905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123825</xdr:colOff>
      <xdr:row>11</xdr:row>
      <xdr:rowOff>114300</xdr:rowOff>
    </xdr:to>
    <xdr:pic>
      <xdr:nvPicPr>
        <xdr:cNvPr id="2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905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123825</xdr:colOff>
      <xdr:row>12</xdr:row>
      <xdr:rowOff>114300</xdr:rowOff>
    </xdr:to>
    <xdr:pic>
      <xdr:nvPicPr>
        <xdr:cNvPr id="2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2095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123825</xdr:colOff>
      <xdr:row>13</xdr:row>
      <xdr:rowOff>114300</xdr:rowOff>
    </xdr:to>
    <xdr:pic>
      <xdr:nvPicPr>
        <xdr:cNvPr id="2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2286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123825</xdr:colOff>
      <xdr:row>14</xdr:row>
      <xdr:rowOff>114300</xdr:rowOff>
    </xdr:to>
    <xdr:pic>
      <xdr:nvPicPr>
        <xdr:cNvPr id="2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2476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123825</xdr:colOff>
      <xdr:row>15</xdr:row>
      <xdr:rowOff>114300</xdr:rowOff>
    </xdr:to>
    <xdr:pic>
      <xdr:nvPicPr>
        <xdr:cNvPr id="2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2667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123825</xdr:colOff>
      <xdr:row>16</xdr:row>
      <xdr:rowOff>114300</xdr:rowOff>
    </xdr:to>
    <xdr:pic>
      <xdr:nvPicPr>
        <xdr:cNvPr id="2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2857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123825</xdr:colOff>
      <xdr:row>17</xdr:row>
      <xdr:rowOff>114300</xdr:rowOff>
    </xdr:to>
    <xdr:pic>
      <xdr:nvPicPr>
        <xdr:cNvPr id="2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3048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123825</xdr:colOff>
      <xdr:row>21</xdr:row>
      <xdr:rowOff>114300</xdr:rowOff>
    </xdr:to>
    <xdr:pic>
      <xdr:nvPicPr>
        <xdr:cNvPr id="2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3810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123825</xdr:colOff>
      <xdr:row>22</xdr:row>
      <xdr:rowOff>114300</xdr:rowOff>
    </xdr:to>
    <xdr:pic>
      <xdr:nvPicPr>
        <xdr:cNvPr id="2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4000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123825</xdr:colOff>
      <xdr:row>23</xdr:row>
      <xdr:rowOff>114300</xdr:rowOff>
    </xdr:to>
    <xdr:pic>
      <xdr:nvPicPr>
        <xdr:cNvPr id="2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4191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123825</xdr:colOff>
      <xdr:row>24</xdr:row>
      <xdr:rowOff>114300</xdr:rowOff>
    </xdr:to>
    <xdr:pic>
      <xdr:nvPicPr>
        <xdr:cNvPr id="3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4381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123825</xdr:colOff>
      <xdr:row>25</xdr:row>
      <xdr:rowOff>114300</xdr:rowOff>
    </xdr:to>
    <xdr:pic>
      <xdr:nvPicPr>
        <xdr:cNvPr id="3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4572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123825</xdr:colOff>
      <xdr:row>26</xdr:row>
      <xdr:rowOff>114300</xdr:rowOff>
    </xdr:to>
    <xdr:pic>
      <xdr:nvPicPr>
        <xdr:cNvPr id="3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47625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8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39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0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1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2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3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4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5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123825</xdr:colOff>
      <xdr:row>9</xdr:row>
      <xdr:rowOff>114300</xdr:rowOff>
    </xdr:to>
    <xdr:pic>
      <xdr:nvPicPr>
        <xdr:cNvPr id="46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48900" y="1524000"/>
          <a:ext cx="123825" cy="114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123825</xdr:colOff>
      <xdr:row>10</xdr:row>
      <xdr:rowOff>114300</xdr:rowOff>
    </xdr:to>
    <xdr:pic>
      <xdr:nvPicPr>
        <xdr:cNvPr id="47" name="placeholder" descr="https://10.4.17.11/res/com/ibm/hwmca/ui/bonsai/images/transparent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2875" y="1905000"/>
          <a:ext cx="123825" cy="1143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19" zoomScale="80" zoomScaleNormal="80" workbookViewId="0">
      <selection activeCell="E43" sqref="E43"/>
    </sheetView>
  </sheetViews>
  <sheetFormatPr baseColWidth="10" defaultRowHeight="15" x14ac:dyDescent="0.25"/>
  <cols>
    <col min="1" max="1" width="4.42578125" bestFit="1" customWidth="1"/>
    <col min="2" max="2" width="15.85546875" bestFit="1" customWidth="1"/>
    <col min="3" max="3" width="20" bestFit="1" customWidth="1"/>
    <col min="4" max="4" width="48.5703125" bestFit="1" customWidth="1"/>
    <col min="5" max="5" width="69.140625" bestFit="1" customWidth="1"/>
    <col min="6" max="6" width="16.7109375" style="23" bestFit="1" customWidth="1"/>
    <col min="7" max="7" width="18" style="23" bestFit="1" customWidth="1"/>
    <col min="8" max="8" width="19.28515625" style="23" bestFit="1" customWidth="1"/>
    <col min="9" max="9" width="17.85546875" bestFit="1" customWidth="1"/>
  </cols>
  <sheetData>
    <row r="1" spans="1:9" ht="15" customHeight="1" x14ac:dyDescent="0.25">
      <c r="B1" t="s">
        <v>5</v>
      </c>
      <c r="E1" t="s">
        <v>6</v>
      </c>
      <c r="F1" s="23" t="s">
        <v>7</v>
      </c>
      <c r="G1" s="23" t="s">
        <v>9</v>
      </c>
    </row>
    <row r="2" spans="1:9" x14ac:dyDescent="0.25">
      <c r="A2">
        <v>13</v>
      </c>
      <c r="B2" s="13" t="s">
        <v>171</v>
      </c>
      <c r="C2" s="13" t="s">
        <v>167</v>
      </c>
      <c r="D2" s="14">
        <v>44</v>
      </c>
      <c r="E2" s="30">
        <v>31</v>
      </c>
      <c r="F2" s="34" t="s">
        <v>181</v>
      </c>
      <c r="G2" s="34" t="s">
        <v>182</v>
      </c>
      <c r="H2" s="71"/>
      <c r="I2" s="23"/>
    </row>
    <row r="3" spans="1:9" ht="14.25" customHeight="1" x14ac:dyDescent="0.25">
      <c r="B3" s="13" t="s">
        <v>172</v>
      </c>
      <c r="C3" s="13">
        <v>1904</v>
      </c>
      <c r="D3" s="14"/>
      <c r="E3" s="30">
        <v>31</v>
      </c>
      <c r="F3" s="34" t="s">
        <v>181</v>
      </c>
      <c r="G3" s="34" t="s">
        <v>183</v>
      </c>
      <c r="H3" s="71"/>
      <c r="I3" s="23"/>
    </row>
    <row r="4" spans="1:9" x14ac:dyDescent="0.25">
      <c r="B4" s="13" t="s">
        <v>173</v>
      </c>
      <c r="C4" s="13" t="s">
        <v>168</v>
      </c>
      <c r="D4" s="9"/>
      <c r="E4" s="30">
        <v>31</v>
      </c>
      <c r="F4" s="34" t="s">
        <v>181</v>
      </c>
      <c r="G4" s="34" t="s">
        <v>184</v>
      </c>
      <c r="H4" s="71"/>
      <c r="I4" s="23"/>
    </row>
    <row r="5" spans="1:9" x14ac:dyDescent="0.25">
      <c r="B5" s="13" t="s">
        <v>174</v>
      </c>
      <c r="C5" s="13" t="s">
        <v>169</v>
      </c>
      <c r="D5" s="9"/>
      <c r="E5" s="30">
        <v>31</v>
      </c>
      <c r="F5" s="34" t="s">
        <v>181</v>
      </c>
      <c r="G5" s="34" t="s">
        <v>185</v>
      </c>
      <c r="H5" s="71"/>
      <c r="I5" s="23"/>
    </row>
    <row r="6" spans="1:9" x14ac:dyDescent="0.25">
      <c r="B6" s="13" t="s">
        <v>175</v>
      </c>
      <c r="C6" s="13" t="s">
        <v>170</v>
      </c>
      <c r="D6" s="9"/>
      <c r="E6" s="30">
        <v>31</v>
      </c>
      <c r="F6" s="34" t="s">
        <v>181</v>
      </c>
      <c r="G6" s="34" t="s">
        <v>186</v>
      </c>
      <c r="H6" s="71"/>
      <c r="I6" s="23"/>
    </row>
    <row r="7" spans="1:9" x14ac:dyDescent="0.25">
      <c r="B7" s="13"/>
      <c r="C7" s="13"/>
      <c r="D7" s="9"/>
      <c r="E7" s="30"/>
      <c r="F7" s="34"/>
      <c r="G7" s="34"/>
      <c r="H7" s="71"/>
      <c r="I7" s="23"/>
    </row>
    <row r="8" spans="1:9" x14ac:dyDescent="0.25">
      <c r="B8" s="13"/>
      <c r="C8" s="13"/>
      <c r="D8" s="9"/>
      <c r="E8" s="30"/>
      <c r="F8" s="34"/>
      <c r="G8" s="34"/>
      <c r="H8" s="71"/>
    </row>
    <row r="9" spans="1:9" x14ac:dyDescent="0.25">
      <c r="A9">
        <v>14</v>
      </c>
      <c r="B9" s="15" t="s">
        <v>176</v>
      </c>
      <c r="C9" s="15" t="s">
        <v>167</v>
      </c>
      <c r="D9" s="29">
        <v>44</v>
      </c>
      <c r="E9" s="29">
        <v>31</v>
      </c>
      <c r="F9" s="31" t="s">
        <v>181</v>
      </c>
      <c r="G9" s="34" t="s">
        <v>182</v>
      </c>
      <c r="H9" s="71"/>
    </row>
    <row r="10" spans="1:9" x14ac:dyDescent="0.25">
      <c r="B10" s="15" t="s">
        <v>177</v>
      </c>
      <c r="C10" s="15">
        <v>1904</v>
      </c>
      <c r="D10" s="15"/>
      <c r="E10" s="29">
        <v>31</v>
      </c>
      <c r="F10" s="31" t="s">
        <v>181</v>
      </c>
      <c r="G10" s="34" t="s">
        <v>183</v>
      </c>
      <c r="H10" s="71"/>
    </row>
    <row r="11" spans="1:9" x14ac:dyDescent="0.25">
      <c r="B11" s="15" t="s">
        <v>178</v>
      </c>
      <c r="C11" s="15" t="s">
        <v>168</v>
      </c>
      <c r="D11" s="8"/>
      <c r="E11" s="29">
        <v>31</v>
      </c>
      <c r="F11" s="31" t="s">
        <v>181</v>
      </c>
      <c r="G11" s="34" t="s">
        <v>184</v>
      </c>
      <c r="H11" s="71"/>
    </row>
    <row r="12" spans="1:9" x14ac:dyDescent="0.25">
      <c r="B12" s="15" t="s">
        <v>179</v>
      </c>
      <c r="C12" s="15" t="s">
        <v>169</v>
      </c>
      <c r="D12" s="8"/>
      <c r="E12" s="29">
        <v>31</v>
      </c>
      <c r="F12" s="31" t="s">
        <v>181</v>
      </c>
      <c r="G12" s="34" t="s">
        <v>185</v>
      </c>
      <c r="H12" s="71"/>
    </row>
    <row r="13" spans="1:9" x14ac:dyDescent="0.25">
      <c r="B13" s="15" t="s">
        <v>180</v>
      </c>
      <c r="C13" s="15" t="s">
        <v>170</v>
      </c>
      <c r="D13" s="8"/>
      <c r="E13" s="29">
        <v>31</v>
      </c>
      <c r="F13" s="31" t="s">
        <v>181</v>
      </c>
      <c r="G13" s="34" t="s">
        <v>186</v>
      </c>
      <c r="H13" s="71"/>
    </row>
    <row r="14" spans="1:9" x14ac:dyDescent="0.25">
      <c r="B14" s="15"/>
      <c r="C14" s="15"/>
      <c r="D14" s="8"/>
      <c r="E14" s="29"/>
      <c r="F14" s="31"/>
      <c r="G14" s="31"/>
      <c r="H14" s="71"/>
    </row>
    <row r="15" spans="1:9" x14ac:dyDescent="0.25">
      <c r="B15" s="15"/>
      <c r="C15" s="15"/>
      <c r="D15" s="8"/>
      <c r="E15" s="29"/>
      <c r="F15" s="31"/>
      <c r="G15" s="31"/>
      <c r="H15" s="71"/>
    </row>
    <row r="16" spans="1:9" x14ac:dyDescent="0.25">
      <c r="B16" s="5"/>
      <c r="C16" s="6"/>
      <c r="D16" s="6"/>
      <c r="E16" s="7"/>
      <c r="F16" s="7"/>
      <c r="G16" s="7"/>
    </row>
    <row r="18" spans="2:9" x14ac:dyDescent="0.25">
      <c r="B18" s="1" t="s">
        <v>0</v>
      </c>
      <c r="C18" s="2" t="s">
        <v>1</v>
      </c>
      <c r="D18" s="10" t="str">
        <f>CONCATENATE(B18,B2,C18)</f>
        <v>chdev -dev hdiskpower326 -attr reserve_lock=no</v>
      </c>
      <c r="F18" s="39"/>
      <c r="G18" s="40"/>
    </row>
    <row r="19" spans="2:9" x14ac:dyDescent="0.25">
      <c r="B19" s="1" t="s">
        <v>0</v>
      </c>
      <c r="C19" s="2" t="s">
        <v>1</v>
      </c>
      <c r="D19" s="10" t="str">
        <f t="shared" ref="D19:D31" si="0">CONCATENATE(B19,B3,C19)</f>
        <v>chdev -dev hdiskpower412 -attr reserve_lock=no</v>
      </c>
      <c r="F19" s="39"/>
      <c r="G19" s="40"/>
    </row>
    <row r="20" spans="2:9" x14ac:dyDescent="0.25">
      <c r="B20" s="1" t="s">
        <v>0</v>
      </c>
      <c r="C20" s="2" t="s">
        <v>1</v>
      </c>
      <c r="D20" s="10" t="str">
        <f t="shared" si="0"/>
        <v>chdev -dev hdiskpower339 -attr reserve_lock=no</v>
      </c>
      <c r="F20" s="41"/>
      <c r="G20" s="42"/>
    </row>
    <row r="21" spans="2:9" x14ac:dyDescent="0.25">
      <c r="B21" s="1" t="s">
        <v>0</v>
      </c>
      <c r="C21" s="2" t="s">
        <v>1</v>
      </c>
      <c r="D21" s="10" t="str">
        <f t="shared" si="0"/>
        <v>chdev -dev hdiskpower542 -attr reserve_lock=no</v>
      </c>
      <c r="F21" s="40"/>
      <c r="G21" s="43"/>
    </row>
    <row r="22" spans="2:9" x14ac:dyDescent="0.25">
      <c r="B22" s="1" t="s">
        <v>0</v>
      </c>
      <c r="C22" s="2" t="s">
        <v>1</v>
      </c>
      <c r="D22" s="10" t="str">
        <f t="shared" si="0"/>
        <v>chdev -dev hdiskpower323 -attr reserve_lock=no</v>
      </c>
      <c r="F22" s="40"/>
      <c r="G22" s="40"/>
    </row>
    <row r="23" spans="2:9" x14ac:dyDescent="0.25">
      <c r="B23" s="1" t="s">
        <v>0</v>
      </c>
      <c r="C23" s="2" t="s">
        <v>1</v>
      </c>
      <c r="D23" s="10" t="str">
        <f t="shared" si="0"/>
        <v>chdev -dev  -attr reserve_lock=no</v>
      </c>
      <c r="F23" s="40"/>
      <c r="G23" s="40"/>
    </row>
    <row r="24" spans="2:9" x14ac:dyDescent="0.25">
      <c r="B24" s="1" t="s">
        <v>0</v>
      </c>
      <c r="C24" s="2" t="s">
        <v>1</v>
      </c>
      <c r="D24" s="10" t="str">
        <f t="shared" si="0"/>
        <v>chdev -dev  -attr reserve_lock=no</v>
      </c>
    </row>
    <row r="25" spans="2:9" x14ac:dyDescent="0.25">
      <c r="B25" s="1" t="s">
        <v>0</v>
      </c>
      <c r="C25" s="2" t="s">
        <v>1</v>
      </c>
      <c r="D25" s="11" t="str">
        <f>CONCATENATE(B25,B9,C25)</f>
        <v>chdev -dev hdiskpower322 -attr reserve_lock=no</v>
      </c>
    </row>
    <row r="26" spans="2:9" x14ac:dyDescent="0.25">
      <c r="B26" s="1" t="s">
        <v>0</v>
      </c>
      <c r="C26" s="2" t="s">
        <v>1</v>
      </c>
      <c r="D26" s="11" t="str">
        <f t="shared" si="0"/>
        <v>chdev -dev hdiskpower338 -attr reserve_lock=no</v>
      </c>
    </row>
    <row r="27" spans="2:9" x14ac:dyDescent="0.25">
      <c r="B27" s="1" t="s">
        <v>0</v>
      </c>
      <c r="C27" s="2" t="s">
        <v>1</v>
      </c>
      <c r="D27" s="11" t="str">
        <f t="shared" si="0"/>
        <v>chdev -dev hdiskpower325 -attr reserve_lock=no</v>
      </c>
      <c r="F27" s="68"/>
    </row>
    <row r="28" spans="2:9" x14ac:dyDescent="0.25">
      <c r="B28" s="1" t="s">
        <v>0</v>
      </c>
      <c r="C28" s="2" t="s">
        <v>1</v>
      </c>
      <c r="D28" s="11" t="str">
        <f t="shared" si="0"/>
        <v>chdev -dev hdiskpower411 -attr reserve_lock=no</v>
      </c>
    </row>
    <row r="29" spans="2:9" x14ac:dyDescent="0.25">
      <c r="B29" s="1" t="s">
        <v>0</v>
      </c>
      <c r="C29" s="2" t="s">
        <v>1</v>
      </c>
      <c r="D29" s="11" t="str">
        <f t="shared" si="0"/>
        <v>chdev -dev hdiskpower321 -attr reserve_lock=no</v>
      </c>
      <c r="G29" s="42"/>
      <c r="H29" s="42"/>
      <c r="I29" s="27"/>
    </row>
    <row r="30" spans="2:9" x14ac:dyDescent="0.25">
      <c r="B30" s="1" t="s">
        <v>0</v>
      </c>
      <c r="C30" s="2" t="s">
        <v>1</v>
      </c>
      <c r="D30" s="11" t="str">
        <f t="shared" si="0"/>
        <v>chdev -dev  -attr reserve_lock=no</v>
      </c>
      <c r="G30" s="42"/>
      <c r="H30" s="42"/>
      <c r="I30" s="27"/>
    </row>
    <row r="31" spans="2:9" x14ac:dyDescent="0.25">
      <c r="B31" s="1" t="s">
        <v>0</v>
      </c>
      <c r="C31" s="2" t="s">
        <v>1</v>
      </c>
      <c r="D31" s="11" t="str">
        <f t="shared" si="0"/>
        <v>chdev -dev  -attr reserve_lock=no</v>
      </c>
      <c r="G31" s="42"/>
      <c r="H31" s="42"/>
      <c r="I31" s="27"/>
    </row>
    <row r="32" spans="2:9" x14ac:dyDescent="0.25">
      <c r="B32" s="3" t="s">
        <v>2</v>
      </c>
      <c r="C32" s="4" t="s">
        <v>3</v>
      </c>
      <c r="D32" s="4" t="s">
        <v>4</v>
      </c>
      <c r="E32" s="10" t="str">
        <f>CONCATENATE(B32,B2,C32,E2,D32,G2)</f>
        <v>mkvdev -vdev hdiskpower326 -vadapter vhost31 -dev ptar06_disk4</v>
      </c>
      <c r="G32" s="67"/>
      <c r="H32" s="67"/>
      <c r="I32" s="69"/>
    </row>
    <row r="33" spans="2:8" x14ac:dyDescent="0.25">
      <c r="B33" s="3" t="s">
        <v>2</v>
      </c>
      <c r="C33" s="4" t="s">
        <v>3</v>
      </c>
      <c r="D33" s="4" t="s">
        <v>4</v>
      </c>
      <c r="E33" s="10" t="str">
        <f>CONCATENATE(B33,B3,C33,E3,D33,G3)</f>
        <v>mkvdev -vdev hdiskpower412 -vadapter vhost31 -dev ptar06_disk5</v>
      </c>
      <c r="G33" s="42"/>
      <c r="H33" s="42"/>
    </row>
    <row r="34" spans="2:8" x14ac:dyDescent="0.25">
      <c r="B34" s="3" t="s">
        <v>2</v>
      </c>
      <c r="C34" s="4" t="s">
        <v>3</v>
      </c>
      <c r="D34" s="4" t="s">
        <v>4</v>
      </c>
      <c r="E34" s="10" t="str">
        <f t="shared" ref="E34:E45" si="1">CONCATENATE(B34,B4,C34,E4,D34,G4)</f>
        <v>mkvdev -vdev hdiskpower339 -vadapter vhost31 -dev ptar06_disk6</v>
      </c>
      <c r="G34" s="42"/>
      <c r="H34" s="42"/>
    </row>
    <row r="35" spans="2:8" x14ac:dyDescent="0.25">
      <c r="B35" s="3" t="s">
        <v>2</v>
      </c>
      <c r="C35" s="4" t="s">
        <v>3</v>
      </c>
      <c r="D35" s="4" t="s">
        <v>4</v>
      </c>
      <c r="E35" s="10" t="str">
        <f>CONCATENATE(B35,B5,C35,E5,D35,G5)</f>
        <v>mkvdev -vdev hdiskpower542 -vadapter vhost31 -dev ptar06_disk7</v>
      </c>
      <c r="G35" s="42"/>
      <c r="H35" s="42"/>
    </row>
    <row r="36" spans="2:8" x14ac:dyDescent="0.25">
      <c r="B36" s="3" t="s">
        <v>2</v>
      </c>
      <c r="C36" s="4" t="s">
        <v>3</v>
      </c>
      <c r="D36" s="4" t="s">
        <v>4</v>
      </c>
      <c r="E36" s="10" t="str">
        <f t="shared" si="1"/>
        <v>mkvdev -vdev hdiskpower323 -vadapter vhost31 -dev ptar06_disk8</v>
      </c>
      <c r="G36" s="42"/>
      <c r="H36" s="42"/>
    </row>
    <row r="37" spans="2:8" x14ac:dyDescent="0.25">
      <c r="B37" s="3" t="s">
        <v>2</v>
      </c>
      <c r="C37" s="4" t="s">
        <v>3</v>
      </c>
      <c r="D37" s="4" t="s">
        <v>4</v>
      </c>
      <c r="E37" s="10" t="str">
        <f t="shared" si="1"/>
        <v xml:space="preserve">mkvdev -vdev  -vadapter vhost -dev </v>
      </c>
      <c r="G37" s="42"/>
      <c r="H37" s="42"/>
    </row>
    <row r="38" spans="2:8" x14ac:dyDescent="0.25">
      <c r="B38" s="3" t="s">
        <v>2</v>
      </c>
      <c r="C38" s="4" t="s">
        <v>3</v>
      </c>
      <c r="D38" s="4" t="s">
        <v>4</v>
      </c>
      <c r="E38" s="10" t="str">
        <f>CONCATENATE(B38,B8,C38,E8,D38,G8)</f>
        <v xml:space="preserve">mkvdev -vdev  -vadapter vhost -dev </v>
      </c>
      <c r="G38" s="42"/>
      <c r="H38" s="42"/>
    </row>
    <row r="39" spans="2:8" x14ac:dyDescent="0.25">
      <c r="B39" s="3" t="s">
        <v>2</v>
      </c>
      <c r="C39" s="4" t="s">
        <v>3</v>
      </c>
      <c r="D39" s="4" t="s">
        <v>4</v>
      </c>
      <c r="E39" s="11" t="str">
        <f>CONCATENATE(B39,B9,C39,E9,D39,G9)</f>
        <v>mkvdev -vdev hdiskpower322 -vadapter vhost31 -dev ptar06_disk4</v>
      </c>
    </row>
    <row r="40" spans="2:8" x14ac:dyDescent="0.25">
      <c r="B40" s="3" t="s">
        <v>2</v>
      </c>
      <c r="C40" s="4" t="s">
        <v>3</v>
      </c>
      <c r="D40" s="4" t="s">
        <v>4</v>
      </c>
      <c r="E40" s="11" t="str">
        <f t="shared" si="1"/>
        <v>mkvdev -vdev hdiskpower338 -vadapter vhost31 -dev ptar06_disk5</v>
      </c>
    </row>
    <row r="41" spans="2:8" x14ac:dyDescent="0.25">
      <c r="B41" s="3" t="s">
        <v>2</v>
      </c>
      <c r="C41" s="4" t="s">
        <v>3</v>
      </c>
      <c r="D41" s="4" t="s">
        <v>4</v>
      </c>
      <c r="E41" s="11" t="str">
        <f t="shared" si="1"/>
        <v>mkvdev -vdev hdiskpower325 -vadapter vhost31 -dev ptar06_disk6</v>
      </c>
    </row>
    <row r="42" spans="2:8" x14ac:dyDescent="0.25">
      <c r="B42" s="3" t="s">
        <v>2</v>
      </c>
      <c r="C42" s="4" t="s">
        <v>3</v>
      </c>
      <c r="D42" s="4" t="s">
        <v>4</v>
      </c>
      <c r="E42" s="11" t="str">
        <f t="shared" si="1"/>
        <v>mkvdev -vdev hdiskpower411 -vadapter vhost31 -dev ptar06_disk7</v>
      </c>
    </row>
    <row r="43" spans="2:8" x14ac:dyDescent="0.25">
      <c r="B43" s="3" t="s">
        <v>2</v>
      </c>
      <c r="C43" s="4" t="s">
        <v>3</v>
      </c>
      <c r="D43" s="4" t="s">
        <v>4</v>
      </c>
      <c r="E43" s="11" t="str">
        <f t="shared" si="1"/>
        <v>mkvdev -vdev hdiskpower321 -vadapter vhost31 -dev ptar06_disk8</v>
      </c>
    </row>
    <row r="44" spans="2:8" x14ac:dyDescent="0.25">
      <c r="B44" s="3" t="s">
        <v>2</v>
      </c>
      <c r="C44" s="4" t="s">
        <v>3</v>
      </c>
      <c r="D44" s="4" t="s">
        <v>4</v>
      </c>
      <c r="E44" s="11" t="str">
        <f t="shared" si="1"/>
        <v xml:space="preserve">mkvdev -vdev  -vadapter vhost -dev </v>
      </c>
      <c r="G44" s="33"/>
    </row>
    <row r="45" spans="2:8" x14ac:dyDescent="0.25">
      <c r="B45" s="3" t="s">
        <v>2</v>
      </c>
      <c r="C45" s="4" t="s">
        <v>3</v>
      </c>
      <c r="D45" s="4" t="s">
        <v>4</v>
      </c>
      <c r="E45" s="11" t="str">
        <f t="shared" si="1"/>
        <v xml:space="preserve">mkvdev -vdev  -vadapter vhost -dev </v>
      </c>
    </row>
    <row r="46" spans="2:8" x14ac:dyDescent="0.25">
      <c r="B46" s="3" t="s">
        <v>2</v>
      </c>
      <c r="C46" s="4" t="s">
        <v>3</v>
      </c>
      <c r="D46" s="4" t="s">
        <v>4</v>
      </c>
      <c r="E46" t="str">
        <f>CONCATENATE(B46,B18,C46,E18,D46,G18)</f>
        <v xml:space="preserve">mkvdev -vdev chdev -dev  -vadapter vhost -dev 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zoomScale="80" zoomScaleNormal="80" workbookViewId="0">
      <selection activeCell="E23" sqref="E23"/>
    </sheetView>
  </sheetViews>
  <sheetFormatPr baseColWidth="10" defaultRowHeight="15" x14ac:dyDescent="0.25"/>
  <cols>
    <col min="1" max="1" width="3.28515625" style="22" customWidth="1"/>
    <col min="2" max="2" width="15.7109375" bestFit="1" customWidth="1"/>
    <col min="3" max="3" width="20" bestFit="1" customWidth="1"/>
    <col min="4" max="4" width="48.5703125" bestFit="1" customWidth="1"/>
    <col min="5" max="5" width="69.28515625" bestFit="1" customWidth="1"/>
    <col min="6" max="6" width="19.42578125" style="23" bestFit="1" customWidth="1"/>
    <col min="7" max="7" width="16.5703125" bestFit="1" customWidth="1"/>
    <col min="8" max="8" width="15.85546875" style="23" bestFit="1" customWidth="1"/>
  </cols>
  <sheetData>
    <row r="1" spans="1:8" x14ac:dyDescent="0.25">
      <c r="B1" t="s">
        <v>5</v>
      </c>
      <c r="E1" t="s">
        <v>6</v>
      </c>
      <c r="F1" s="23" t="s">
        <v>7</v>
      </c>
      <c r="G1" t="s">
        <v>8</v>
      </c>
    </row>
    <row r="2" spans="1:8" x14ac:dyDescent="0.25">
      <c r="A2" s="22">
        <v>23</v>
      </c>
      <c r="B2" s="18" t="s">
        <v>158</v>
      </c>
      <c r="C2" s="19"/>
      <c r="D2" s="19"/>
      <c r="E2" s="28">
        <v>8</v>
      </c>
      <c r="F2" s="36" t="s">
        <v>160</v>
      </c>
      <c r="G2" s="37" t="s">
        <v>161</v>
      </c>
      <c r="H2" s="70"/>
    </row>
    <row r="3" spans="1:8" x14ac:dyDescent="0.25">
      <c r="B3" s="18" t="s">
        <v>165</v>
      </c>
      <c r="C3" s="20"/>
      <c r="D3" s="20"/>
      <c r="E3" s="28">
        <v>8</v>
      </c>
      <c r="F3" s="36" t="s">
        <v>160</v>
      </c>
      <c r="G3" s="37" t="s">
        <v>162</v>
      </c>
      <c r="H3" s="70"/>
    </row>
    <row r="4" spans="1:8" x14ac:dyDescent="0.25">
      <c r="B4" s="18" t="s">
        <v>159</v>
      </c>
      <c r="C4" s="20"/>
      <c r="D4" s="20"/>
      <c r="E4" s="28">
        <v>8</v>
      </c>
      <c r="F4" s="36" t="s">
        <v>160</v>
      </c>
      <c r="G4" s="37" t="s">
        <v>163</v>
      </c>
      <c r="H4" s="70"/>
    </row>
    <row r="5" spans="1:8" x14ac:dyDescent="0.25">
      <c r="B5" s="18" t="s">
        <v>166</v>
      </c>
      <c r="C5" s="20"/>
      <c r="D5" s="20"/>
      <c r="E5" s="28">
        <v>8</v>
      </c>
      <c r="F5" s="36" t="s">
        <v>160</v>
      </c>
      <c r="G5" s="37" t="s">
        <v>164</v>
      </c>
      <c r="H5" s="70"/>
    </row>
    <row r="6" spans="1:8" x14ac:dyDescent="0.25">
      <c r="B6" s="18"/>
      <c r="C6" s="20"/>
      <c r="D6" s="20"/>
      <c r="E6" s="28"/>
      <c r="F6" s="36"/>
      <c r="G6" s="37"/>
      <c r="H6" s="70"/>
    </row>
    <row r="7" spans="1:8" x14ac:dyDescent="0.25">
      <c r="B7" s="18"/>
      <c r="C7" s="20"/>
      <c r="D7" s="20"/>
      <c r="E7" s="28"/>
      <c r="F7" s="36"/>
      <c r="G7" s="37"/>
      <c r="H7" s="70"/>
    </row>
    <row r="8" spans="1:8" x14ac:dyDescent="0.25">
      <c r="B8" s="18"/>
      <c r="C8" s="20"/>
      <c r="D8" s="20"/>
      <c r="E8" s="28"/>
      <c r="F8" s="36"/>
      <c r="G8" s="37"/>
      <c r="H8" s="70"/>
    </row>
    <row r="9" spans="1:8" x14ac:dyDescent="0.25">
      <c r="A9" s="22">
        <v>24</v>
      </c>
      <c r="B9" s="15" t="s">
        <v>158</v>
      </c>
      <c r="C9" s="25"/>
      <c r="D9" s="16"/>
      <c r="E9" s="64">
        <v>8</v>
      </c>
      <c r="F9" s="31" t="s">
        <v>160</v>
      </c>
      <c r="G9" s="38" t="s">
        <v>161</v>
      </c>
      <c r="H9" s="70"/>
    </row>
    <row r="10" spans="1:8" x14ac:dyDescent="0.25">
      <c r="B10" s="15" t="s">
        <v>165</v>
      </c>
      <c r="C10" s="8"/>
      <c r="D10" s="8"/>
      <c r="E10" s="64">
        <v>8</v>
      </c>
      <c r="F10" s="31" t="s">
        <v>160</v>
      </c>
      <c r="G10" s="38" t="s">
        <v>162</v>
      </c>
      <c r="H10" s="70"/>
    </row>
    <row r="11" spans="1:8" x14ac:dyDescent="0.25">
      <c r="B11" s="15" t="s">
        <v>159</v>
      </c>
      <c r="C11" s="8"/>
      <c r="D11" s="8"/>
      <c r="E11" s="64">
        <v>8</v>
      </c>
      <c r="F11" s="31" t="s">
        <v>160</v>
      </c>
      <c r="G11" s="38" t="s">
        <v>163</v>
      </c>
      <c r="H11" s="70"/>
    </row>
    <row r="12" spans="1:8" x14ac:dyDescent="0.25">
      <c r="B12" s="15" t="s">
        <v>166</v>
      </c>
      <c r="C12" s="8"/>
      <c r="D12" s="8"/>
      <c r="E12" s="64">
        <v>8</v>
      </c>
      <c r="F12" s="31" t="s">
        <v>160</v>
      </c>
      <c r="G12" s="38" t="s">
        <v>164</v>
      </c>
      <c r="H12" s="70"/>
    </row>
    <row r="13" spans="1:8" x14ac:dyDescent="0.25">
      <c r="B13" s="15"/>
      <c r="C13" s="8"/>
      <c r="D13" s="8"/>
      <c r="E13" s="64"/>
      <c r="F13" s="31"/>
      <c r="G13" s="38"/>
      <c r="H13" s="70"/>
    </row>
    <row r="14" spans="1:8" x14ac:dyDescent="0.25">
      <c r="B14" s="15"/>
      <c r="C14" s="8"/>
      <c r="D14" s="8"/>
      <c r="E14" s="64"/>
      <c r="F14" s="31"/>
      <c r="G14" s="38"/>
      <c r="H14" s="70"/>
    </row>
    <row r="15" spans="1:8" x14ac:dyDescent="0.25">
      <c r="B15" s="15"/>
      <c r="C15" s="8"/>
      <c r="D15" s="8"/>
      <c r="E15" s="64"/>
      <c r="F15" s="31"/>
      <c r="G15" s="12"/>
      <c r="H15" s="70"/>
    </row>
    <row r="16" spans="1:8" x14ac:dyDescent="0.25">
      <c r="B16" s="5"/>
      <c r="C16" s="6"/>
      <c r="D16" s="6"/>
      <c r="E16" s="7"/>
      <c r="F16" s="7"/>
      <c r="G16" s="6"/>
    </row>
    <row r="17" spans="2:6" ht="5.25" customHeight="1" x14ac:dyDescent="0.25"/>
    <row r="18" spans="2:6" x14ac:dyDescent="0.25">
      <c r="B18" s="1" t="s">
        <v>0</v>
      </c>
      <c r="C18" s="2" t="s">
        <v>1</v>
      </c>
      <c r="D18" s="21" t="str">
        <f>CONCATENATE(B18,B2,C18)</f>
        <v>chdev -dev hdiskpower192 -attr reserve_lock=no</v>
      </c>
      <c r="F18" s="32"/>
    </row>
    <row r="19" spans="2:6" x14ac:dyDescent="0.25">
      <c r="B19" s="1" t="s">
        <v>0</v>
      </c>
      <c r="C19" s="2" t="s">
        <v>1</v>
      </c>
      <c r="D19" s="21" t="str">
        <f>CONCATENATE(B19,B3,C19)</f>
        <v>chdev -dev hdiskpower190 -attr reserve_lock=no</v>
      </c>
      <c r="F19" s="32"/>
    </row>
    <row r="20" spans="2:6" x14ac:dyDescent="0.25">
      <c r="B20" s="1" t="s">
        <v>0</v>
      </c>
      <c r="C20" s="2" t="s">
        <v>1</v>
      </c>
      <c r="D20" s="21" t="str">
        <f>CONCATENATE(B20,B4,C20)</f>
        <v>chdev -dev hdiskpower193 -attr reserve_lock=no</v>
      </c>
    </row>
    <row r="21" spans="2:6" x14ac:dyDescent="0.25">
      <c r="B21" s="1" t="s">
        <v>0</v>
      </c>
      <c r="C21" s="2" t="s">
        <v>1</v>
      </c>
      <c r="D21" s="21" t="str">
        <f t="shared" ref="D21:D31" si="0">CONCATENATE(B21,B5,C21)</f>
        <v>chdev -dev hdiskpower191 -attr reserve_lock=no</v>
      </c>
    </row>
    <row r="22" spans="2:6" x14ac:dyDescent="0.25">
      <c r="B22" s="1" t="s">
        <v>0</v>
      </c>
      <c r="C22" s="2" t="s">
        <v>1</v>
      </c>
      <c r="D22" s="21" t="str">
        <f t="shared" si="0"/>
        <v>chdev -dev  -attr reserve_lock=no</v>
      </c>
    </row>
    <row r="23" spans="2:6" x14ac:dyDescent="0.25">
      <c r="B23" s="1" t="s">
        <v>0</v>
      </c>
      <c r="C23" s="2" t="s">
        <v>1</v>
      </c>
      <c r="D23" s="21" t="str">
        <f t="shared" si="0"/>
        <v>chdev -dev  -attr reserve_lock=no</v>
      </c>
      <c r="E23" s="26"/>
    </row>
    <row r="24" spans="2:6" x14ac:dyDescent="0.25">
      <c r="B24" s="1" t="s">
        <v>0</v>
      </c>
      <c r="C24" s="2" t="s">
        <v>1</v>
      </c>
      <c r="D24" s="21" t="str">
        <f t="shared" si="0"/>
        <v>chdev -dev  -attr reserve_lock=no</v>
      </c>
    </row>
    <row r="25" spans="2:6" x14ac:dyDescent="0.25">
      <c r="B25" s="1" t="s">
        <v>0</v>
      </c>
      <c r="C25" s="2" t="s">
        <v>1</v>
      </c>
      <c r="D25" s="11" t="str">
        <f>CONCATENATE(B25,B9,C25)</f>
        <v>chdev -dev hdiskpower192 -attr reserve_lock=no</v>
      </c>
    </row>
    <row r="26" spans="2:6" x14ac:dyDescent="0.25">
      <c r="B26" s="1" t="s">
        <v>0</v>
      </c>
      <c r="C26" s="2" t="s">
        <v>1</v>
      </c>
      <c r="D26" s="11" t="str">
        <f>CONCATENATE(B26,B10,C26)</f>
        <v>chdev -dev hdiskpower190 -attr reserve_lock=no</v>
      </c>
    </row>
    <row r="27" spans="2:6" x14ac:dyDescent="0.25">
      <c r="B27" s="1" t="s">
        <v>0</v>
      </c>
      <c r="C27" s="2" t="s">
        <v>1</v>
      </c>
      <c r="D27" s="11" t="str">
        <f t="shared" si="0"/>
        <v>chdev -dev hdiskpower193 -attr reserve_lock=no</v>
      </c>
    </row>
    <row r="28" spans="2:6" x14ac:dyDescent="0.25">
      <c r="B28" s="1" t="s">
        <v>0</v>
      </c>
      <c r="C28" s="2" t="s">
        <v>1</v>
      </c>
      <c r="D28" s="11" t="str">
        <f t="shared" si="0"/>
        <v>chdev -dev hdiskpower191 -attr reserve_lock=no</v>
      </c>
    </row>
    <row r="29" spans="2:6" x14ac:dyDescent="0.25">
      <c r="B29" s="1" t="s">
        <v>0</v>
      </c>
      <c r="C29" s="2" t="s">
        <v>1</v>
      </c>
      <c r="D29" s="11" t="str">
        <f t="shared" si="0"/>
        <v>chdev -dev  -attr reserve_lock=no</v>
      </c>
    </row>
    <row r="30" spans="2:6" x14ac:dyDescent="0.25">
      <c r="B30" s="1" t="s">
        <v>0</v>
      </c>
      <c r="C30" s="2" t="s">
        <v>1</v>
      </c>
      <c r="D30" s="11" t="str">
        <f t="shared" si="0"/>
        <v>chdev -dev  -attr reserve_lock=no</v>
      </c>
    </row>
    <row r="31" spans="2:6" x14ac:dyDescent="0.25">
      <c r="B31" s="1" t="s">
        <v>0</v>
      </c>
      <c r="C31" s="2" t="s">
        <v>1</v>
      </c>
      <c r="D31" s="11" t="str">
        <f t="shared" si="0"/>
        <v>chdev -dev  -attr reserve_lock=no</v>
      </c>
    </row>
    <row r="32" spans="2:6" x14ac:dyDescent="0.25">
      <c r="B32" s="3" t="s">
        <v>2</v>
      </c>
      <c r="C32" s="4" t="s">
        <v>3</v>
      </c>
      <c r="D32" s="4" t="s">
        <v>4</v>
      </c>
      <c r="E32" s="21" t="str">
        <f>CONCATENATE(B32,B2,C32,E2,D32,G2)</f>
        <v>mkvdev -vdev hdiskpower192 -vadapter vhost8 -dev pfin04_rootvg</v>
      </c>
      <c r="F32" s="33"/>
    </row>
    <row r="33" spans="2:7" x14ac:dyDescent="0.25">
      <c r="B33" s="3" t="s">
        <v>2</v>
      </c>
      <c r="C33" s="4" t="s">
        <v>3</v>
      </c>
      <c r="D33" s="4" t="s">
        <v>4</v>
      </c>
      <c r="E33" s="21" t="str">
        <f>CONCATENATE(B33,B3,C33,E3,D33,G3)</f>
        <v>mkvdev -vdev hdiskpower190 -vadapter vhost8 -dev pfin04_hdisk1</v>
      </c>
      <c r="F33" s="33"/>
    </row>
    <row r="34" spans="2:7" x14ac:dyDescent="0.25">
      <c r="B34" s="3" t="s">
        <v>2</v>
      </c>
      <c r="C34" s="4" t="s">
        <v>3</v>
      </c>
      <c r="D34" s="4" t="s">
        <v>4</v>
      </c>
      <c r="E34" s="21" t="str">
        <f>CONCATENATE(B34,B4,C34,E4,D34,G4)</f>
        <v>mkvdev -vdev hdiskpower193 -vadapter vhost8 -dev pfin04_hdisk2</v>
      </c>
      <c r="F34" s="33"/>
    </row>
    <row r="35" spans="2:7" x14ac:dyDescent="0.25">
      <c r="B35" s="3" t="s">
        <v>2</v>
      </c>
      <c r="C35" s="4" t="s">
        <v>3</v>
      </c>
      <c r="D35" s="4" t="s">
        <v>4</v>
      </c>
      <c r="E35" s="21" t="str">
        <f t="shared" ref="E35:E44" si="1">CONCATENATE(B35,B5,C35,E5,D35,G5)</f>
        <v>mkvdev -vdev hdiskpower191 -vadapter vhost8 -dev pfin04_hdisk3</v>
      </c>
      <c r="F35" s="33"/>
    </row>
    <row r="36" spans="2:7" x14ac:dyDescent="0.25">
      <c r="B36" s="3" t="s">
        <v>2</v>
      </c>
      <c r="C36" s="4" t="s">
        <v>3</v>
      </c>
      <c r="D36" s="4" t="s">
        <v>4</v>
      </c>
      <c r="E36" s="21" t="str">
        <f t="shared" si="1"/>
        <v xml:space="preserve">mkvdev -vdev  -vadapter vhost -dev </v>
      </c>
      <c r="F36" s="33"/>
    </row>
    <row r="37" spans="2:7" x14ac:dyDescent="0.25">
      <c r="B37" s="3" t="s">
        <v>2</v>
      </c>
      <c r="C37" s="4" t="s">
        <v>3</v>
      </c>
      <c r="D37" s="4" t="s">
        <v>4</v>
      </c>
      <c r="E37" s="21" t="str">
        <f t="shared" si="1"/>
        <v xml:space="preserve">mkvdev -vdev  -vadapter vhost -dev </v>
      </c>
      <c r="F37" s="33"/>
    </row>
    <row r="38" spans="2:7" x14ac:dyDescent="0.25">
      <c r="B38" s="3" t="s">
        <v>2</v>
      </c>
      <c r="C38" s="4" t="s">
        <v>3</v>
      </c>
      <c r="D38" s="4" t="s">
        <v>4</v>
      </c>
      <c r="E38" s="21" t="str">
        <f t="shared" si="1"/>
        <v xml:space="preserve">mkvdev -vdev  -vadapter vhost -dev </v>
      </c>
      <c r="F38" s="33"/>
    </row>
    <row r="39" spans="2:7" x14ac:dyDescent="0.25">
      <c r="B39" s="3" t="s">
        <v>2</v>
      </c>
      <c r="C39" s="4" t="s">
        <v>3</v>
      </c>
      <c r="D39" s="4" t="s">
        <v>4</v>
      </c>
      <c r="E39" s="11" t="str">
        <f>CONCATENATE(B39,B9,C39,E9,D39,G9)</f>
        <v>mkvdev -vdev hdiskpower192 -vadapter vhost8 -dev pfin04_rootvg</v>
      </c>
      <c r="F39" s="33"/>
    </row>
    <row r="40" spans="2:7" x14ac:dyDescent="0.25">
      <c r="B40" s="3" t="s">
        <v>2</v>
      </c>
      <c r="C40" s="4" t="s">
        <v>3</v>
      </c>
      <c r="D40" s="4" t="s">
        <v>4</v>
      </c>
      <c r="E40" s="11" t="str">
        <f>CONCATENATE(B40,B10,C40,E10,D40,G10)</f>
        <v>mkvdev -vdev hdiskpower190 -vadapter vhost8 -dev pfin04_hdisk1</v>
      </c>
      <c r="F40" s="33"/>
    </row>
    <row r="41" spans="2:7" x14ac:dyDescent="0.25">
      <c r="B41" s="3" t="s">
        <v>2</v>
      </c>
      <c r="C41" s="4" t="s">
        <v>3</v>
      </c>
      <c r="D41" s="4" t="s">
        <v>4</v>
      </c>
      <c r="E41" s="11" t="str">
        <f t="shared" si="1"/>
        <v>mkvdev -vdev hdiskpower193 -vadapter vhost8 -dev pfin04_hdisk2</v>
      </c>
      <c r="F41" s="33"/>
    </row>
    <row r="42" spans="2:7" x14ac:dyDescent="0.25">
      <c r="B42" s="3" t="s">
        <v>2</v>
      </c>
      <c r="C42" s="4" t="s">
        <v>3</v>
      </c>
      <c r="D42" s="4" t="s">
        <v>4</v>
      </c>
      <c r="E42" s="11" t="str">
        <f t="shared" si="1"/>
        <v>mkvdev -vdev hdiskpower191 -vadapter vhost8 -dev pfin04_hdisk3</v>
      </c>
      <c r="F42" s="33"/>
    </row>
    <row r="43" spans="2:7" x14ac:dyDescent="0.25">
      <c r="B43" s="3" t="s">
        <v>2</v>
      </c>
      <c r="C43" s="4" t="s">
        <v>3</v>
      </c>
      <c r="D43" s="4" t="s">
        <v>4</v>
      </c>
      <c r="E43" s="11" t="str">
        <f t="shared" si="1"/>
        <v xml:space="preserve">mkvdev -vdev  -vadapter vhost -dev </v>
      </c>
      <c r="F43" s="33"/>
    </row>
    <row r="44" spans="2:7" x14ac:dyDescent="0.25">
      <c r="B44" s="3" t="s">
        <v>2</v>
      </c>
      <c r="C44" s="4" t="s">
        <v>3</v>
      </c>
      <c r="D44" s="4" t="s">
        <v>4</v>
      </c>
      <c r="E44" s="11" t="str">
        <f t="shared" si="1"/>
        <v xml:space="preserve">mkvdev -vdev  -vadapter vhost -dev </v>
      </c>
      <c r="F44" s="33"/>
      <c r="G44" s="17"/>
    </row>
    <row r="45" spans="2:7" x14ac:dyDescent="0.25">
      <c r="B45" s="3" t="s">
        <v>2</v>
      </c>
      <c r="C45" s="4" t="s">
        <v>3</v>
      </c>
      <c r="D45" s="4" t="s">
        <v>4</v>
      </c>
      <c r="E45" s="11" t="str">
        <f>CONCATENATE(B45,B15,C45,E15,D45,G15)</f>
        <v xml:space="preserve">mkvdev -vdev  -vadapter vhost -dev </v>
      </c>
      <c r="F45" s="33"/>
    </row>
    <row r="46" spans="2:7" x14ac:dyDescent="0.25">
      <c r="B46" s="3" t="s">
        <v>2</v>
      </c>
      <c r="C46" s="4" t="s">
        <v>3</v>
      </c>
      <c r="D46" s="4" t="s">
        <v>4</v>
      </c>
      <c r="E46" t="str">
        <f>CONCATENATE(B46,B18,C46,E18,D46,G18)</f>
        <v xml:space="preserve">mkvdev -vdev chdev -dev  -vadapter vhost -dev 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tabSelected="1" topLeftCell="A4" workbookViewId="0">
      <selection activeCell="L11" sqref="L11"/>
    </sheetView>
  </sheetViews>
  <sheetFormatPr baseColWidth="10" defaultRowHeight="15" x14ac:dyDescent="0.25"/>
  <cols>
    <col min="1" max="1" width="2.140625" customWidth="1"/>
    <col min="2" max="2" width="9.5703125" bestFit="1" customWidth="1"/>
    <col min="3" max="3" width="13.42578125" bestFit="1" customWidth="1"/>
    <col min="4" max="4" width="25.85546875" bestFit="1" customWidth="1"/>
    <col min="5" max="5" width="46.28515625" bestFit="1" customWidth="1"/>
    <col min="6" max="6" width="9.5703125" bestFit="1" customWidth="1"/>
    <col min="8" max="8" width="18.7109375" bestFit="1" customWidth="1"/>
    <col min="9" max="9" width="26.42578125" bestFit="1" customWidth="1"/>
    <col min="10" max="10" width="2.7109375" customWidth="1"/>
    <col min="11" max="11" width="9.5703125" bestFit="1" customWidth="1"/>
    <col min="13" max="13" width="25.85546875" bestFit="1" customWidth="1"/>
    <col min="14" max="14" width="33.5703125" bestFit="1" customWidth="1"/>
  </cols>
  <sheetData>
    <row r="2" spans="2:5" x14ac:dyDescent="0.25">
      <c r="B2" s="72" t="s">
        <v>15</v>
      </c>
      <c r="C2" s="72"/>
      <c r="D2" s="72"/>
      <c r="E2" s="72"/>
    </row>
    <row r="3" spans="2:5" x14ac:dyDescent="0.25">
      <c r="B3" s="35" t="s">
        <v>10</v>
      </c>
      <c r="C3" s="70" t="s">
        <v>187</v>
      </c>
      <c r="D3" s="24" t="s">
        <v>11</v>
      </c>
      <c r="E3" s="24" t="str">
        <f>CONCATENATE(B3,C3,D3)</f>
        <v xml:space="preserve">chdev -l hdisk4  -a hcheck_interval=60 </v>
      </c>
    </row>
    <row r="4" spans="2:5" x14ac:dyDescent="0.25">
      <c r="B4" s="35" t="s">
        <v>10</v>
      </c>
      <c r="C4" s="70" t="s">
        <v>188</v>
      </c>
      <c r="D4" s="24" t="s">
        <v>11</v>
      </c>
      <c r="E4" s="24" t="str">
        <f t="shared" ref="E4:E9" si="0">CONCATENATE(B4,C4,D4)</f>
        <v xml:space="preserve">chdev -l hdisk5  -a hcheck_interval=60 </v>
      </c>
    </row>
    <row r="5" spans="2:5" x14ac:dyDescent="0.25">
      <c r="B5" s="35" t="s">
        <v>10</v>
      </c>
      <c r="C5" s="70" t="s">
        <v>189</v>
      </c>
      <c r="D5" s="24" t="s">
        <v>11</v>
      </c>
      <c r="E5" s="24" t="str">
        <f t="shared" si="0"/>
        <v xml:space="preserve">chdev -l hdisk6  -a hcheck_interval=60 </v>
      </c>
    </row>
    <row r="6" spans="2:5" x14ac:dyDescent="0.25">
      <c r="B6" s="35" t="s">
        <v>10</v>
      </c>
      <c r="C6" s="70" t="s">
        <v>190</v>
      </c>
      <c r="D6" s="24" t="s">
        <v>11</v>
      </c>
      <c r="E6" s="24" t="str">
        <f t="shared" si="0"/>
        <v xml:space="preserve">chdev -l hdisk7  -a hcheck_interval=60 </v>
      </c>
    </row>
    <row r="7" spans="2:5" x14ac:dyDescent="0.25">
      <c r="B7" s="35" t="s">
        <v>10</v>
      </c>
      <c r="C7" s="70" t="s">
        <v>191</v>
      </c>
      <c r="D7" s="24" t="s">
        <v>11</v>
      </c>
      <c r="E7" s="24" t="str">
        <f t="shared" si="0"/>
        <v xml:space="preserve">chdev -l hdisk8  -a hcheck_interval=60 </v>
      </c>
    </row>
    <row r="8" spans="2:5" x14ac:dyDescent="0.25">
      <c r="B8" s="35" t="s">
        <v>10</v>
      </c>
      <c r="C8" s="70"/>
      <c r="D8" s="24" t="s">
        <v>11</v>
      </c>
      <c r="E8" s="24" t="str">
        <f t="shared" si="0"/>
        <v xml:space="preserve">chdev -l  -a hcheck_interval=60 </v>
      </c>
    </row>
    <row r="9" spans="2:5" x14ac:dyDescent="0.25">
      <c r="B9" s="35" t="s">
        <v>10</v>
      </c>
      <c r="C9" s="24"/>
      <c r="D9" s="24" t="s">
        <v>11</v>
      </c>
      <c r="E9" s="24" t="str">
        <f t="shared" si="0"/>
        <v xml:space="preserve">chdev -l  -a hcheck_interval=60 </v>
      </c>
    </row>
    <row r="11" spans="2:5" x14ac:dyDescent="0.25">
      <c r="B11" s="72" t="s">
        <v>15</v>
      </c>
      <c r="C11" s="72"/>
      <c r="D11" s="72"/>
      <c r="E11" s="72"/>
    </row>
    <row r="12" spans="2:5" x14ac:dyDescent="0.25">
      <c r="B12" s="35" t="s">
        <v>10</v>
      </c>
      <c r="C12" s="70" t="s">
        <v>187</v>
      </c>
      <c r="D12" s="24" t="s">
        <v>12</v>
      </c>
      <c r="E12" s="24" t="str">
        <f>CONCATENATE(B12,C12,D12)</f>
        <v>chdev -l hdisk4  -a queue_depth=16</v>
      </c>
    </row>
    <row r="13" spans="2:5" x14ac:dyDescent="0.25">
      <c r="B13" s="35" t="s">
        <v>10</v>
      </c>
      <c r="C13" s="70" t="s">
        <v>188</v>
      </c>
      <c r="D13" s="24" t="s">
        <v>12</v>
      </c>
      <c r="E13" s="24" t="str">
        <f t="shared" ref="E13:E18" si="1">CONCATENATE(B13,C13,D13)</f>
        <v>chdev -l hdisk5  -a queue_depth=16</v>
      </c>
    </row>
    <row r="14" spans="2:5" x14ac:dyDescent="0.25">
      <c r="B14" s="35" t="s">
        <v>10</v>
      </c>
      <c r="C14" s="70" t="s">
        <v>189</v>
      </c>
      <c r="D14" s="24" t="s">
        <v>12</v>
      </c>
      <c r="E14" s="24" t="str">
        <f t="shared" si="1"/>
        <v>chdev -l hdisk6  -a queue_depth=16</v>
      </c>
    </row>
    <row r="15" spans="2:5" x14ac:dyDescent="0.25">
      <c r="B15" s="35" t="s">
        <v>10</v>
      </c>
      <c r="C15" s="70" t="s">
        <v>190</v>
      </c>
      <c r="D15" s="24" t="s">
        <v>12</v>
      </c>
      <c r="E15" s="24" t="str">
        <f t="shared" si="1"/>
        <v>chdev -l hdisk7  -a queue_depth=16</v>
      </c>
    </row>
    <row r="16" spans="2:5" x14ac:dyDescent="0.25">
      <c r="B16" s="35" t="s">
        <v>10</v>
      </c>
      <c r="C16" s="70" t="s">
        <v>191</v>
      </c>
      <c r="D16" s="24" t="s">
        <v>12</v>
      </c>
      <c r="E16" s="24" t="str">
        <f t="shared" si="1"/>
        <v>chdev -l hdisk8  -a queue_depth=16</v>
      </c>
    </row>
    <row r="17" spans="2:5" x14ac:dyDescent="0.25">
      <c r="B17" s="35" t="s">
        <v>10</v>
      </c>
      <c r="C17" s="70"/>
      <c r="D17" s="24" t="s">
        <v>12</v>
      </c>
      <c r="E17" s="24" t="str">
        <f t="shared" si="1"/>
        <v>chdev -l  -a queue_depth=16</v>
      </c>
    </row>
    <row r="18" spans="2:5" x14ac:dyDescent="0.25">
      <c r="B18" s="35" t="s">
        <v>10</v>
      </c>
      <c r="C18" s="24"/>
      <c r="D18" s="24" t="s">
        <v>12</v>
      </c>
      <c r="E18" s="24" t="str">
        <f t="shared" si="1"/>
        <v>chdev -l  -a queue_depth=16</v>
      </c>
    </row>
    <row r="20" spans="2:5" x14ac:dyDescent="0.25">
      <c r="B20" s="72" t="s">
        <v>15</v>
      </c>
      <c r="C20" s="72"/>
      <c r="D20" s="72"/>
      <c r="E20" s="72"/>
    </row>
    <row r="21" spans="2:5" x14ac:dyDescent="0.25">
      <c r="B21" s="35" t="s">
        <v>10</v>
      </c>
      <c r="C21" s="70" t="s">
        <v>187</v>
      </c>
      <c r="D21" s="24" t="s">
        <v>13</v>
      </c>
      <c r="E21" s="24" t="str">
        <f>CONCATENATE(B21,C21,D21)</f>
        <v>chdev -l hdisk4  -a hcheck_mode=nonactive</v>
      </c>
    </row>
    <row r="22" spans="2:5" x14ac:dyDescent="0.25">
      <c r="B22" s="35" t="s">
        <v>10</v>
      </c>
      <c r="C22" s="70" t="s">
        <v>188</v>
      </c>
      <c r="D22" s="24" t="s">
        <v>13</v>
      </c>
      <c r="E22" s="24" t="str">
        <f t="shared" ref="E22:E27" si="2">CONCATENATE(B22,C22,D22)</f>
        <v>chdev -l hdisk5  -a hcheck_mode=nonactive</v>
      </c>
    </row>
    <row r="23" spans="2:5" x14ac:dyDescent="0.25">
      <c r="B23" s="35" t="s">
        <v>10</v>
      </c>
      <c r="C23" s="70" t="s">
        <v>189</v>
      </c>
      <c r="D23" s="24" t="s">
        <v>13</v>
      </c>
      <c r="E23" s="24" t="str">
        <f t="shared" si="2"/>
        <v>chdev -l hdisk6  -a hcheck_mode=nonactive</v>
      </c>
    </row>
    <row r="24" spans="2:5" x14ac:dyDescent="0.25">
      <c r="B24" s="35" t="s">
        <v>10</v>
      </c>
      <c r="C24" s="70" t="s">
        <v>190</v>
      </c>
      <c r="D24" s="24" t="s">
        <v>13</v>
      </c>
      <c r="E24" s="24" t="str">
        <f t="shared" si="2"/>
        <v>chdev -l hdisk7  -a hcheck_mode=nonactive</v>
      </c>
    </row>
    <row r="25" spans="2:5" x14ac:dyDescent="0.25">
      <c r="B25" s="35" t="s">
        <v>10</v>
      </c>
      <c r="C25" s="70" t="s">
        <v>191</v>
      </c>
      <c r="D25" s="24" t="s">
        <v>13</v>
      </c>
      <c r="E25" s="24" t="str">
        <f t="shared" si="2"/>
        <v>chdev -l hdisk8  -a hcheck_mode=nonactive</v>
      </c>
    </row>
    <row r="26" spans="2:5" x14ac:dyDescent="0.25">
      <c r="B26" s="35" t="s">
        <v>10</v>
      </c>
      <c r="C26" s="70"/>
      <c r="D26" s="24" t="s">
        <v>13</v>
      </c>
      <c r="E26" s="24" t="str">
        <f t="shared" si="2"/>
        <v>chdev -l  -a hcheck_mode=nonactive</v>
      </c>
    </row>
    <row r="27" spans="2:5" x14ac:dyDescent="0.25">
      <c r="B27" s="35" t="s">
        <v>10</v>
      </c>
      <c r="C27" s="24"/>
      <c r="D27" s="24" t="s">
        <v>13</v>
      </c>
      <c r="E27" s="24" t="str">
        <f t="shared" si="2"/>
        <v>chdev -l  -a hcheck_mode=nonactive</v>
      </c>
    </row>
  </sheetData>
  <mergeCells count="3">
    <mergeCell ref="B11:E11"/>
    <mergeCell ref="B2:E2"/>
    <mergeCell ref="B20:E20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>
      <selection activeCell="C3" sqref="C3:C8"/>
    </sheetView>
  </sheetViews>
  <sheetFormatPr baseColWidth="10" defaultRowHeight="15" x14ac:dyDescent="0.25"/>
  <cols>
    <col min="1" max="1" width="2.140625" customWidth="1"/>
    <col min="2" max="2" width="9.5703125" bestFit="1" customWidth="1"/>
    <col min="3" max="3" width="14.42578125" bestFit="1" customWidth="1"/>
    <col min="4" max="4" width="25.85546875" bestFit="1" customWidth="1"/>
    <col min="5" max="5" width="40.42578125" bestFit="1" customWidth="1"/>
    <col min="6" max="6" width="9.5703125" bestFit="1" customWidth="1"/>
    <col min="8" max="8" width="18.7109375" bestFit="1" customWidth="1"/>
    <col min="9" max="9" width="26.42578125" bestFit="1" customWidth="1"/>
    <col min="10" max="10" width="2.7109375" customWidth="1"/>
    <col min="11" max="11" width="9.5703125" bestFit="1" customWidth="1"/>
    <col min="13" max="13" width="25.85546875" bestFit="1" customWidth="1"/>
    <col min="14" max="14" width="33.5703125" bestFit="1" customWidth="1"/>
  </cols>
  <sheetData>
    <row r="2" spans="2:5" x14ac:dyDescent="0.25">
      <c r="B2" s="72" t="s">
        <v>15</v>
      </c>
      <c r="C2" s="72"/>
      <c r="D2" s="72"/>
      <c r="E2" s="72"/>
    </row>
    <row r="3" spans="2:5" x14ac:dyDescent="0.25">
      <c r="B3" s="35" t="s">
        <v>10</v>
      </c>
      <c r="C3" s="70" t="s">
        <v>17</v>
      </c>
      <c r="D3" s="24" t="s">
        <v>11</v>
      </c>
      <c r="E3" s="24" t="str">
        <f>CONCATENATE(B3,C3,D3)</f>
        <v xml:space="preserve">chdev -l hdisk1 -a hcheck_interval=60 </v>
      </c>
    </row>
    <row r="4" spans="2:5" x14ac:dyDescent="0.25">
      <c r="B4" s="35" t="s">
        <v>10</v>
      </c>
      <c r="C4" s="70" t="s">
        <v>18</v>
      </c>
      <c r="D4" s="24" t="s">
        <v>11</v>
      </c>
      <c r="E4" s="24" t="str">
        <f t="shared" ref="E4:E9" si="0">CONCATENATE(B4,C4,D4)</f>
        <v xml:space="preserve">chdev -l hdisk2 -a hcheck_interval=60 </v>
      </c>
    </row>
    <row r="5" spans="2:5" x14ac:dyDescent="0.25">
      <c r="B5" s="35" t="s">
        <v>10</v>
      </c>
      <c r="C5" s="70" t="s">
        <v>19</v>
      </c>
      <c r="D5" s="24" t="s">
        <v>11</v>
      </c>
      <c r="E5" s="24" t="str">
        <f t="shared" si="0"/>
        <v xml:space="preserve">chdev -l hdisk3 -a hcheck_interval=60 </v>
      </c>
    </row>
    <row r="6" spans="2:5" x14ac:dyDescent="0.25">
      <c r="B6" s="35" t="s">
        <v>10</v>
      </c>
      <c r="C6" s="70" t="s">
        <v>20</v>
      </c>
      <c r="D6" s="24" t="s">
        <v>11</v>
      </c>
      <c r="E6" s="24" t="str">
        <f t="shared" si="0"/>
        <v xml:space="preserve">chdev -l hdisk4 -a hcheck_interval=60 </v>
      </c>
    </row>
    <row r="7" spans="2:5" x14ac:dyDescent="0.25">
      <c r="B7" s="35" t="s">
        <v>10</v>
      </c>
      <c r="C7" s="70" t="s">
        <v>53</v>
      </c>
      <c r="D7" s="24" t="s">
        <v>11</v>
      </c>
      <c r="E7" s="24" t="str">
        <f t="shared" si="0"/>
        <v xml:space="preserve">chdev -l hdisk5 -a hcheck_interval=60 </v>
      </c>
    </row>
    <row r="8" spans="2:5" x14ac:dyDescent="0.25">
      <c r="B8" s="35" t="s">
        <v>10</v>
      </c>
      <c r="C8" s="70" t="s">
        <v>48</v>
      </c>
      <c r="D8" s="24" t="s">
        <v>11</v>
      </c>
      <c r="E8" s="24" t="str">
        <f t="shared" si="0"/>
        <v xml:space="preserve">chdev -l hdisk6 -a hcheck_interval=60 </v>
      </c>
    </row>
    <row r="9" spans="2:5" x14ac:dyDescent="0.25">
      <c r="B9" s="35" t="s">
        <v>10</v>
      </c>
      <c r="C9" s="70"/>
      <c r="D9" s="24" t="s">
        <v>11</v>
      </c>
      <c r="E9" s="24" t="str">
        <f t="shared" si="0"/>
        <v xml:space="preserve">chdev -l  -a hcheck_interval=60 </v>
      </c>
    </row>
    <row r="11" spans="2:5" x14ac:dyDescent="0.25">
      <c r="B11" s="72" t="s">
        <v>15</v>
      </c>
      <c r="C11" s="72"/>
      <c r="D11" s="72"/>
      <c r="E11" s="72"/>
    </row>
    <row r="12" spans="2:5" x14ac:dyDescent="0.25">
      <c r="B12" s="35" t="s">
        <v>10</v>
      </c>
      <c r="C12" s="70" t="s">
        <v>17</v>
      </c>
      <c r="D12" s="24" t="s">
        <v>14</v>
      </c>
      <c r="E12" s="24" t="str">
        <f>CONCATENATE(B12,C12,D12)</f>
        <v>chdev -l hdisk1 -a queue_depth=20</v>
      </c>
    </row>
    <row r="13" spans="2:5" x14ac:dyDescent="0.25">
      <c r="B13" s="35" t="s">
        <v>10</v>
      </c>
      <c r="C13" s="70" t="s">
        <v>18</v>
      </c>
      <c r="D13" s="24" t="s">
        <v>14</v>
      </c>
      <c r="E13" s="24" t="str">
        <f t="shared" ref="E13:E18" si="1">CONCATENATE(B13,C13,D13)</f>
        <v>chdev -l hdisk2 -a queue_depth=20</v>
      </c>
    </row>
    <row r="14" spans="2:5" x14ac:dyDescent="0.25">
      <c r="B14" s="35" t="s">
        <v>10</v>
      </c>
      <c r="C14" s="70" t="s">
        <v>19</v>
      </c>
      <c r="D14" s="24" t="s">
        <v>14</v>
      </c>
      <c r="E14" s="24" t="str">
        <f t="shared" si="1"/>
        <v>chdev -l hdisk3 -a queue_depth=20</v>
      </c>
    </row>
    <row r="15" spans="2:5" x14ac:dyDescent="0.25">
      <c r="B15" s="35" t="s">
        <v>10</v>
      </c>
      <c r="C15" s="70" t="s">
        <v>20</v>
      </c>
      <c r="D15" s="24" t="s">
        <v>14</v>
      </c>
      <c r="E15" s="24" t="str">
        <f t="shared" si="1"/>
        <v>chdev -l hdisk4 -a queue_depth=20</v>
      </c>
    </row>
    <row r="16" spans="2:5" x14ac:dyDescent="0.25">
      <c r="B16" s="35" t="s">
        <v>10</v>
      </c>
      <c r="C16" s="70" t="s">
        <v>53</v>
      </c>
      <c r="D16" s="24" t="s">
        <v>14</v>
      </c>
      <c r="E16" s="24" t="str">
        <f t="shared" si="1"/>
        <v>chdev -l hdisk5 -a queue_depth=20</v>
      </c>
    </row>
    <row r="17" spans="2:5" x14ac:dyDescent="0.25">
      <c r="B17" s="35" t="s">
        <v>10</v>
      </c>
      <c r="C17" s="70" t="s">
        <v>48</v>
      </c>
      <c r="D17" s="24" t="s">
        <v>14</v>
      </c>
      <c r="E17" s="24" t="str">
        <f t="shared" si="1"/>
        <v>chdev -l hdisk6 -a queue_depth=20</v>
      </c>
    </row>
    <row r="18" spans="2:5" x14ac:dyDescent="0.25">
      <c r="B18" s="35" t="s">
        <v>10</v>
      </c>
      <c r="C18" s="70"/>
      <c r="D18" s="24" t="s">
        <v>14</v>
      </c>
      <c r="E18" s="24" t="str">
        <f t="shared" si="1"/>
        <v>chdev -l  -a queue_depth=20</v>
      </c>
    </row>
    <row r="20" spans="2:5" x14ac:dyDescent="0.25">
      <c r="B20" s="73" t="s">
        <v>15</v>
      </c>
      <c r="C20" s="74"/>
      <c r="D20" s="74"/>
      <c r="E20" s="75"/>
    </row>
    <row r="21" spans="2:5" x14ac:dyDescent="0.25">
      <c r="B21" s="35" t="s">
        <v>10</v>
      </c>
      <c r="C21" s="70" t="s">
        <v>17</v>
      </c>
      <c r="D21" s="24" t="s">
        <v>13</v>
      </c>
      <c r="E21" s="24" t="str">
        <f>CONCATENATE(B21,C21,D21)</f>
        <v>chdev -l hdisk1 -a hcheck_mode=nonactive</v>
      </c>
    </row>
    <row r="22" spans="2:5" x14ac:dyDescent="0.25">
      <c r="B22" s="35" t="s">
        <v>10</v>
      </c>
      <c r="C22" s="70" t="s">
        <v>18</v>
      </c>
      <c r="D22" s="24" t="s">
        <v>13</v>
      </c>
      <c r="E22" s="24" t="str">
        <f t="shared" ref="E22:E27" si="2">CONCATENATE(B22,C22,D22)</f>
        <v>chdev -l hdisk2 -a hcheck_mode=nonactive</v>
      </c>
    </row>
    <row r="23" spans="2:5" x14ac:dyDescent="0.25">
      <c r="B23" s="35" t="s">
        <v>10</v>
      </c>
      <c r="C23" s="70" t="s">
        <v>19</v>
      </c>
      <c r="D23" s="24" t="s">
        <v>13</v>
      </c>
      <c r="E23" s="24" t="str">
        <f t="shared" si="2"/>
        <v>chdev -l hdisk3 -a hcheck_mode=nonactive</v>
      </c>
    </row>
    <row r="24" spans="2:5" x14ac:dyDescent="0.25">
      <c r="B24" s="35" t="s">
        <v>10</v>
      </c>
      <c r="C24" s="70" t="s">
        <v>20</v>
      </c>
      <c r="D24" s="24" t="s">
        <v>13</v>
      </c>
      <c r="E24" s="24" t="str">
        <f t="shared" si="2"/>
        <v>chdev -l hdisk4 -a hcheck_mode=nonactive</v>
      </c>
    </row>
    <row r="25" spans="2:5" x14ac:dyDescent="0.25">
      <c r="B25" s="35" t="s">
        <v>10</v>
      </c>
      <c r="C25" s="70" t="s">
        <v>53</v>
      </c>
      <c r="D25" s="24" t="s">
        <v>13</v>
      </c>
      <c r="E25" s="24" t="str">
        <f t="shared" si="2"/>
        <v>chdev -l hdisk5 -a hcheck_mode=nonactive</v>
      </c>
    </row>
    <row r="26" spans="2:5" x14ac:dyDescent="0.25">
      <c r="B26" s="35" t="s">
        <v>10</v>
      </c>
      <c r="C26" s="70" t="s">
        <v>48</v>
      </c>
      <c r="D26" s="24" t="s">
        <v>13</v>
      </c>
      <c r="E26" s="24" t="str">
        <f t="shared" si="2"/>
        <v>chdev -l hdisk6 -a hcheck_mode=nonactive</v>
      </c>
    </row>
    <row r="27" spans="2:5" x14ac:dyDescent="0.25">
      <c r="B27" s="35" t="s">
        <v>10</v>
      </c>
      <c r="C27" s="70"/>
      <c r="D27" s="24" t="s">
        <v>13</v>
      </c>
      <c r="E27" s="24" t="str">
        <f t="shared" si="2"/>
        <v>chdev -l  -a hcheck_mode=nonactive</v>
      </c>
    </row>
  </sheetData>
  <mergeCells count="3">
    <mergeCell ref="B2:E2"/>
    <mergeCell ref="B20:E20"/>
    <mergeCell ref="B11:E11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topLeftCell="A19" workbookViewId="0">
      <selection activeCell="J30" sqref="J30"/>
    </sheetView>
  </sheetViews>
  <sheetFormatPr baseColWidth="10" defaultRowHeight="15" x14ac:dyDescent="0.25"/>
  <cols>
    <col min="2" max="2" width="14.42578125" bestFit="1" customWidth="1"/>
    <col min="3" max="3" width="10.140625" bestFit="1" customWidth="1"/>
    <col min="4" max="4" width="25.5703125" bestFit="1" customWidth="1"/>
    <col min="5" max="5" width="13.28515625" bestFit="1" customWidth="1"/>
    <col min="6" max="6" width="10.42578125" bestFit="1" customWidth="1"/>
    <col min="7" max="7" width="6.85546875" bestFit="1" customWidth="1"/>
    <col min="8" max="8" width="17.7109375" bestFit="1" customWidth="1"/>
    <col min="9" max="9" width="14.5703125" bestFit="1" customWidth="1"/>
    <col min="10" max="10" width="13.28515625" style="23" bestFit="1" customWidth="1"/>
  </cols>
  <sheetData>
    <row r="1" spans="2:10" ht="15.75" thickBot="1" x14ac:dyDescent="0.3"/>
    <row r="2" spans="2:10" ht="15.75" thickBot="1" x14ac:dyDescent="0.3">
      <c r="B2" s="76" t="s">
        <v>56</v>
      </c>
      <c r="C2" s="77"/>
      <c r="D2" s="77"/>
      <c r="E2" s="77"/>
      <c r="F2" s="77"/>
      <c r="G2" s="77"/>
      <c r="H2" s="77"/>
      <c r="I2" s="77"/>
      <c r="J2" s="78"/>
    </row>
    <row r="3" spans="2:10" ht="15.75" thickBot="1" x14ac:dyDescent="0.3">
      <c r="B3" s="44" t="s">
        <v>21</v>
      </c>
      <c r="C3" s="45" t="s">
        <v>22</v>
      </c>
      <c r="D3" s="45" t="s">
        <v>23</v>
      </c>
      <c r="E3" s="45" t="s">
        <v>24</v>
      </c>
      <c r="F3" s="45" t="s">
        <v>25</v>
      </c>
      <c r="G3" s="45" t="s">
        <v>26</v>
      </c>
      <c r="H3" s="45" t="s">
        <v>27</v>
      </c>
      <c r="I3" s="45" t="s">
        <v>28</v>
      </c>
      <c r="J3" s="52" t="s">
        <v>55</v>
      </c>
    </row>
    <row r="4" spans="2:10" ht="15.75" thickBot="1" x14ac:dyDescent="0.3">
      <c r="B4" s="46" t="s">
        <v>29</v>
      </c>
      <c r="C4" s="47">
        <v>33075</v>
      </c>
      <c r="D4" s="47">
        <v>190101710</v>
      </c>
      <c r="E4" s="48" t="s">
        <v>30</v>
      </c>
      <c r="F4" s="48" t="s">
        <v>31</v>
      </c>
      <c r="G4" s="49" t="s">
        <v>32</v>
      </c>
      <c r="H4" s="49" t="s">
        <v>33</v>
      </c>
      <c r="I4" s="49" t="s">
        <v>34</v>
      </c>
      <c r="J4" s="53" t="s">
        <v>16</v>
      </c>
    </row>
    <row r="5" spans="2:10" ht="15.75" thickBot="1" x14ac:dyDescent="0.3">
      <c r="B5" s="46" t="s">
        <v>35</v>
      </c>
      <c r="C5" s="47">
        <v>55125</v>
      </c>
      <c r="D5" s="47">
        <v>190101710</v>
      </c>
      <c r="E5" s="48" t="s">
        <v>36</v>
      </c>
      <c r="F5" s="48" t="s">
        <v>37</v>
      </c>
      <c r="G5" s="49" t="s">
        <v>38</v>
      </c>
      <c r="H5" s="49" t="s">
        <v>39</v>
      </c>
      <c r="I5" s="49" t="s">
        <v>40</v>
      </c>
      <c r="J5" s="53" t="s">
        <v>17</v>
      </c>
    </row>
    <row r="6" spans="2:10" ht="15.75" thickBot="1" x14ac:dyDescent="0.3">
      <c r="B6" s="46" t="s">
        <v>41</v>
      </c>
      <c r="C6" s="47">
        <v>22050</v>
      </c>
      <c r="D6" s="47">
        <v>190101710</v>
      </c>
      <c r="E6" s="50" t="s">
        <v>42</v>
      </c>
      <c r="F6" s="51">
        <v>546</v>
      </c>
      <c r="G6" s="49" t="s">
        <v>43</v>
      </c>
      <c r="H6" s="49" t="s">
        <v>44</v>
      </c>
      <c r="I6" s="49" t="s">
        <v>45</v>
      </c>
      <c r="J6" s="53" t="s">
        <v>18</v>
      </c>
    </row>
    <row r="7" spans="2:10" ht="15.75" thickBot="1" x14ac:dyDescent="0.3">
      <c r="B7" s="46" t="s">
        <v>46</v>
      </c>
      <c r="C7" s="47">
        <v>11025</v>
      </c>
      <c r="D7" s="47">
        <v>190101710</v>
      </c>
      <c r="E7" s="50" t="s">
        <v>47</v>
      </c>
      <c r="F7" s="51">
        <v>831</v>
      </c>
      <c r="G7" s="49" t="s">
        <v>48</v>
      </c>
      <c r="H7" s="49" t="s">
        <v>49</v>
      </c>
      <c r="I7" s="49" t="s">
        <v>50</v>
      </c>
      <c r="J7" s="53" t="s">
        <v>19</v>
      </c>
    </row>
    <row r="8" spans="2:10" ht="15.75" thickBot="1" x14ac:dyDescent="0.3">
      <c r="B8" s="46" t="s">
        <v>51</v>
      </c>
      <c r="C8" s="47">
        <v>11025</v>
      </c>
      <c r="D8" s="47">
        <v>190101710</v>
      </c>
      <c r="E8" s="50" t="s">
        <v>52</v>
      </c>
      <c r="F8" s="51">
        <v>830</v>
      </c>
      <c r="G8" s="49" t="s">
        <v>53</v>
      </c>
      <c r="H8" s="49" t="s">
        <v>49</v>
      </c>
      <c r="I8" s="49" t="s">
        <v>54</v>
      </c>
      <c r="J8" s="53" t="s">
        <v>20</v>
      </c>
    </row>
    <row r="9" spans="2:10" ht="15.75" thickBot="1" x14ac:dyDescent="0.3">
      <c r="B9" s="59"/>
      <c r="C9" s="60"/>
      <c r="D9" s="60"/>
      <c r="E9" s="62"/>
      <c r="F9" s="63"/>
      <c r="G9" s="59"/>
      <c r="H9" s="59"/>
      <c r="I9" s="59"/>
      <c r="J9" s="61"/>
    </row>
    <row r="10" spans="2:10" ht="15.75" thickBot="1" x14ac:dyDescent="0.3">
      <c r="B10" s="76" t="s">
        <v>71</v>
      </c>
      <c r="C10" s="77"/>
      <c r="D10" s="77"/>
      <c r="E10" s="77"/>
      <c r="F10" s="77"/>
      <c r="G10" s="77"/>
      <c r="H10" s="77"/>
      <c r="I10" s="77"/>
      <c r="J10" s="78"/>
    </row>
    <row r="11" spans="2:10" ht="16.5" thickBot="1" x14ac:dyDescent="0.3">
      <c r="B11" s="58" t="s">
        <v>5</v>
      </c>
      <c r="C11" s="58" t="s">
        <v>57</v>
      </c>
      <c r="D11" s="58" t="s">
        <v>58</v>
      </c>
      <c r="E11" s="58" t="s">
        <v>24</v>
      </c>
      <c r="F11" s="58" t="s">
        <v>59</v>
      </c>
      <c r="G11" s="58" t="s">
        <v>60</v>
      </c>
      <c r="H11" s="58" t="s">
        <v>61</v>
      </c>
      <c r="I11" s="58" t="s">
        <v>28</v>
      </c>
      <c r="J11" s="58" t="s">
        <v>55</v>
      </c>
    </row>
    <row r="12" spans="2:10" ht="15.75" thickBot="1" x14ac:dyDescent="0.3">
      <c r="B12" s="46" t="s">
        <v>62</v>
      </c>
      <c r="C12" s="46">
        <v>11025</v>
      </c>
      <c r="D12" s="46">
        <v>190101710</v>
      </c>
      <c r="E12" s="55" t="s">
        <v>47</v>
      </c>
      <c r="F12" s="57">
        <v>831</v>
      </c>
      <c r="G12" s="46" t="s">
        <v>32</v>
      </c>
      <c r="H12" s="46" t="s">
        <v>49</v>
      </c>
      <c r="I12" s="49" t="s">
        <v>50</v>
      </c>
      <c r="J12" s="53" t="s">
        <v>16</v>
      </c>
    </row>
    <row r="13" spans="2:10" ht="15.75" thickBot="1" x14ac:dyDescent="0.3">
      <c r="B13" s="46" t="s">
        <v>63</v>
      </c>
      <c r="C13" s="46">
        <v>11025</v>
      </c>
      <c r="D13" s="46">
        <v>190101710</v>
      </c>
      <c r="E13" s="55" t="s">
        <v>52</v>
      </c>
      <c r="F13" s="57">
        <v>830</v>
      </c>
      <c r="G13" s="46" t="s">
        <v>38</v>
      </c>
      <c r="H13" s="46" t="s">
        <v>49</v>
      </c>
      <c r="I13" s="49" t="s">
        <v>54</v>
      </c>
      <c r="J13" s="53" t="s">
        <v>17</v>
      </c>
    </row>
    <row r="14" spans="2:10" ht="15.75" thickBot="1" x14ac:dyDescent="0.3">
      <c r="B14" s="46" t="s">
        <v>64</v>
      </c>
      <c r="C14" s="46">
        <v>22050</v>
      </c>
      <c r="D14" s="46">
        <v>190101710</v>
      </c>
      <c r="E14" s="55" t="s">
        <v>42</v>
      </c>
      <c r="F14" s="57">
        <v>546</v>
      </c>
      <c r="G14" s="46" t="s">
        <v>43</v>
      </c>
      <c r="H14" s="46" t="s">
        <v>44</v>
      </c>
      <c r="I14" s="49" t="s">
        <v>45</v>
      </c>
      <c r="J14" s="53" t="s">
        <v>18</v>
      </c>
    </row>
    <row r="15" spans="2:10" ht="15.75" thickBot="1" x14ac:dyDescent="0.3">
      <c r="B15" s="46" t="s">
        <v>65</v>
      </c>
      <c r="C15" s="46">
        <v>55125</v>
      </c>
      <c r="D15" s="46">
        <v>190101710</v>
      </c>
      <c r="E15" s="56">
        <v>898</v>
      </c>
      <c r="F15" s="54">
        <v>548</v>
      </c>
      <c r="G15" s="46" t="s">
        <v>48</v>
      </c>
      <c r="H15" s="46" t="s">
        <v>66</v>
      </c>
      <c r="I15" s="49" t="s">
        <v>40</v>
      </c>
      <c r="J15" s="53" t="s">
        <v>19</v>
      </c>
    </row>
    <row r="16" spans="2:10" ht="15.75" thickBot="1" x14ac:dyDescent="0.3">
      <c r="B16" s="46" t="s">
        <v>67</v>
      </c>
      <c r="C16" s="46">
        <v>33075</v>
      </c>
      <c r="D16" s="46">
        <v>190101710</v>
      </c>
      <c r="E16" s="56">
        <v>899</v>
      </c>
      <c r="F16" s="56" t="s">
        <v>68</v>
      </c>
      <c r="G16" s="46" t="s">
        <v>53</v>
      </c>
      <c r="H16" s="46" t="s">
        <v>69</v>
      </c>
      <c r="I16" s="49" t="s">
        <v>70</v>
      </c>
      <c r="J16" s="53" t="s">
        <v>20</v>
      </c>
    </row>
    <row r="17" spans="2:10" ht="15.75" thickBot="1" x14ac:dyDescent="0.3"/>
    <row r="18" spans="2:10" ht="15.75" thickBot="1" x14ac:dyDescent="0.3">
      <c r="B18" s="76" t="s">
        <v>72</v>
      </c>
      <c r="C18" s="77"/>
      <c r="D18" s="77"/>
      <c r="E18" s="77"/>
      <c r="F18" s="77"/>
      <c r="G18" s="77"/>
      <c r="H18" s="77"/>
      <c r="I18" s="77"/>
      <c r="J18" s="78"/>
    </row>
    <row r="19" spans="2:10" ht="16.5" thickBot="1" x14ac:dyDescent="0.3">
      <c r="B19" s="58" t="s">
        <v>5</v>
      </c>
      <c r="C19" s="58" t="s">
        <v>57</v>
      </c>
      <c r="D19" s="58" t="s">
        <v>58</v>
      </c>
      <c r="E19" s="58" t="s">
        <v>81</v>
      </c>
      <c r="F19" s="58" t="s">
        <v>82</v>
      </c>
      <c r="G19" s="58" t="s">
        <v>60</v>
      </c>
      <c r="H19" s="58" t="s">
        <v>61</v>
      </c>
      <c r="I19" s="58" t="s">
        <v>28</v>
      </c>
      <c r="J19" s="58" t="s">
        <v>55</v>
      </c>
    </row>
    <row r="20" spans="2:10" ht="15.75" thickBot="1" x14ac:dyDescent="0.3">
      <c r="B20" s="46" t="s">
        <v>83</v>
      </c>
      <c r="C20" s="46">
        <v>11025</v>
      </c>
      <c r="D20" s="46">
        <v>190101710</v>
      </c>
      <c r="E20" s="55" t="s">
        <v>84</v>
      </c>
      <c r="F20" s="57" t="s">
        <v>85</v>
      </c>
      <c r="G20" s="46" t="s">
        <v>32</v>
      </c>
      <c r="H20" s="46" t="s">
        <v>86</v>
      </c>
      <c r="I20" s="49" t="s">
        <v>87</v>
      </c>
      <c r="J20" s="53" t="s">
        <v>73</v>
      </c>
    </row>
    <row r="21" spans="2:10" ht="15.75" thickBot="1" x14ac:dyDescent="0.3">
      <c r="B21" s="46" t="s">
        <v>88</v>
      </c>
      <c r="C21" s="46">
        <v>518175</v>
      </c>
      <c r="D21" s="46">
        <v>190101710</v>
      </c>
      <c r="E21" s="55" t="s">
        <v>89</v>
      </c>
      <c r="F21" s="57">
        <v>10000</v>
      </c>
      <c r="G21" s="46" t="s">
        <v>38</v>
      </c>
      <c r="H21" s="46" t="s">
        <v>90</v>
      </c>
      <c r="I21" s="49" t="s">
        <v>91</v>
      </c>
      <c r="J21" s="53" t="s">
        <v>74</v>
      </c>
    </row>
    <row r="22" spans="2:10" ht="15.75" thickBot="1" x14ac:dyDescent="0.3">
      <c r="B22" s="46" t="s">
        <v>92</v>
      </c>
      <c r="C22" s="46">
        <v>55125</v>
      </c>
      <c r="D22" s="46">
        <v>190101710</v>
      </c>
      <c r="E22" s="55" t="s">
        <v>93</v>
      </c>
      <c r="F22" s="57">
        <v>899</v>
      </c>
      <c r="G22" s="46" t="s">
        <v>43</v>
      </c>
      <c r="H22" s="46" t="s">
        <v>94</v>
      </c>
      <c r="I22" s="49" t="s">
        <v>95</v>
      </c>
      <c r="J22" s="53" t="s">
        <v>75</v>
      </c>
    </row>
    <row r="23" spans="2:10" ht="15.75" thickBot="1" x14ac:dyDescent="0.3">
      <c r="B23" s="46" t="s">
        <v>96</v>
      </c>
      <c r="C23" s="46">
        <v>110250</v>
      </c>
      <c r="D23" s="46">
        <v>190101710</v>
      </c>
      <c r="E23" s="55">
        <v>740</v>
      </c>
      <c r="F23" s="57" t="s">
        <v>97</v>
      </c>
      <c r="G23" s="46" t="s">
        <v>48</v>
      </c>
      <c r="H23" s="46" t="s">
        <v>98</v>
      </c>
      <c r="I23" s="49" t="s">
        <v>99</v>
      </c>
      <c r="J23" s="53" t="s">
        <v>76</v>
      </c>
    </row>
    <row r="24" spans="2:10" ht="15.75" thickBot="1" x14ac:dyDescent="0.3">
      <c r="B24" s="46" t="s">
        <v>100</v>
      </c>
      <c r="C24" s="46">
        <v>132300</v>
      </c>
      <c r="D24" s="46">
        <v>190101710</v>
      </c>
      <c r="E24" s="55">
        <v>741</v>
      </c>
      <c r="F24" s="57" t="s">
        <v>101</v>
      </c>
      <c r="G24" s="46" t="s">
        <v>53</v>
      </c>
      <c r="H24" s="46" t="s">
        <v>102</v>
      </c>
      <c r="I24" s="49" t="s">
        <v>103</v>
      </c>
      <c r="J24" s="53" t="s">
        <v>77</v>
      </c>
    </row>
    <row r="25" spans="2:10" ht="15.75" thickBot="1" x14ac:dyDescent="0.3">
      <c r="B25" s="46" t="s">
        <v>104</v>
      </c>
      <c r="C25" s="46">
        <v>55125</v>
      </c>
      <c r="D25" s="46">
        <v>190101710</v>
      </c>
      <c r="E25" s="55">
        <v>744</v>
      </c>
      <c r="F25" s="57" t="s">
        <v>105</v>
      </c>
      <c r="G25" s="46" t="s">
        <v>18</v>
      </c>
      <c r="H25" s="46" t="s">
        <v>106</v>
      </c>
      <c r="I25" s="49" t="s">
        <v>107</v>
      </c>
      <c r="J25" s="53" t="s">
        <v>78</v>
      </c>
    </row>
    <row r="26" spans="2:10" ht="15.75" thickBot="1" x14ac:dyDescent="0.3">
      <c r="B26" s="46" t="s">
        <v>108</v>
      </c>
      <c r="C26" s="46">
        <v>55125</v>
      </c>
      <c r="D26" s="46">
        <v>190101710</v>
      </c>
      <c r="E26" s="55">
        <v>745</v>
      </c>
      <c r="F26" s="57" t="s">
        <v>109</v>
      </c>
      <c r="G26" s="46" t="s">
        <v>17</v>
      </c>
      <c r="H26" s="46" t="s">
        <v>110</v>
      </c>
      <c r="I26" s="49" t="s">
        <v>111</v>
      </c>
      <c r="J26" s="53" t="s">
        <v>79</v>
      </c>
    </row>
    <row r="27" spans="2:10" ht="15.75" thickBot="1" x14ac:dyDescent="0.3">
      <c r="B27" s="46" t="s">
        <v>112</v>
      </c>
      <c r="C27" s="46">
        <v>55125</v>
      </c>
      <c r="D27" s="46">
        <v>190101710</v>
      </c>
      <c r="E27" s="56" t="s">
        <v>113</v>
      </c>
      <c r="F27" s="65" t="s">
        <v>114</v>
      </c>
      <c r="G27" s="46" t="s">
        <v>16</v>
      </c>
      <c r="H27" s="46" t="s">
        <v>115</v>
      </c>
      <c r="I27" s="49" t="s">
        <v>40</v>
      </c>
      <c r="J27" s="53" t="s">
        <v>80</v>
      </c>
    </row>
    <row r="28" spans="2:10" ht="15.75" thickBot="1" x14ac:dyDescent="0.3"/>
    <row r="29" spans="2:10" ht="15.75" thickBot="1" x14ac:dyDescent="0.3">
      <c r="B29" s="76" t="s">
        <v>116</v>
      </c>
      <c r="C29" s="77"/>
      <c r="D29" s="77"/>
      <c r="E29" s="77"/>
      <c r="F29" s="77"/>
      <c r="G29" s="77"/>
      <c r="H29" s="77"/>
      <c r="I29" s="77"/>
      <c r="J29" s="78"/>
    </row>
    <row r="30" spans="2:10" ht="16.5" thickBot="1" x14ac:dyDescent="0.3">
      <c r="B30" s="58" t="s">
        <v>5</v>
      </c>
      <c r="C30" s="58" t="s">
        <v>57</v>
      </c>
      <c r="D30" s="58" t="s">
        <v>58</v>
      </c>
      <c r="E30" s="58" t="s">
        <v>81</v>
      </c>
      <c r="F30" s="58" t="s">
        <v>82</v>
      </c>
      <c r="G30" s="58" t="s">
        <v>60</v>
      </c>
      <c r="H30" s="58" t="s">
        <v>61</v>
      </c>
      <c r="I30" s="58" t="s">
        <v>28</v>
      </c>
      <c r="J30" s="58" t="s">
        <v>55</v>
      </c>
    </row>
    <row r="31" spans="2:10" ht="15.75" thickBot="1" x14ac:dyDescent="0.3">
      <c r="B31" s="46" t="s">
        <v>125</v>
      </c>
      <c r="C31" s="46">
        <v>11025</v>
      </c>
      <c r="D31" s="46">
        <v>190101710</v>
      </c>
      <c r="E31" s="55" t="s">
        <v>126</v>
      </c>
      <c r="F31" s="57">
        <v>7000000</v>
      </c>
      <c r="G31" s="46" t="s">
        <v>43</v>
      </c>
      <c r="H31" s="46" t="s">
        <v>127</v>
      </c>
      <c r="I31" s="49" t="s">
        <v>128</v>
      </c>
      <c r="J31" s="53" t="s">
        <v>117</v>
      </c>
    </row>
    <row r="32" spans="2:10" ht="15.75" thickBot="1" x14ac:dyDescent="0.3">
      <c r="B32" s="46" t="s">
        <v>129</v>
      </c>
      <c r="C32" s="46">
        <v>7350</v>
      </c>
      <c r="D32" s="46">
        <v>190101710</v>
      </c>
      <c r="E32" s="55" t="s">
        <v>130</v>
      </c>
      <c r="F32" s="57">
        <v>268</v>
      </c>
      <c r="G32" s="46" t="s">
        <v>48</v>
      </c>
      <c r="H32" s="46" t="s">
        <v>131</v>
      </c>
      <c r="I32" s="49" t="s">
        <v>132</v>
      </c>
      <c r="J32" s="53" t="s">
        <v>118</v>
      </c>
    </row>
    <row r="33" spans="2:10" ht="15.75" thickBot="1" x14ac:dyDescent="0.3">
      <c r="B33" s="46" t="s">
        <v>133</v>
      </c>
      <c r="C33" s="46">
        <v>110250</v>
      </c>
      <c r="D33" s="46">
        <v>190101710</v>
      </c>
      <c r="E33" s="55" t="s">
        <v>134</v>
      </c>
      <c r="F33" s="57" t="s">
        <v>135</v>
      </c>
      <c r="G33" s="46" t="s">
        <v>53</v>
      </c>
      <c r="H33" s="46" t="s">
        <v>136</v>
      </c>
      <c r="I33" s="49" t="s">
        <v>137</v>
      </c>
      <c r="J33" s="53" t="s">
        <v>119</v>
      </c>
    </row>
    <row r="34" spans="2:10" ht="15.75" thickBot="1" x14ac:dyDescent="0.3">
      <c r="B34" s="46" t="s">
        <v>138</v>
      </c>
      <c r="C34" s="46">
        <v>11025</v>
      </c>
      <c r="D34" s="46">
        <v>190101710</v>
      </c>
      <c r="E34" s="55" t="s">
        <v>139</v>
      </c>
      <c r="F34" s="57" t="s">
        <v>140</v>
      </c>
      <c r="G34" s="46" t="s">
        <v>20</v>
      </c>
      <c r="H34" s="46" t="s">
        <v>141</v>
      </c>
      <c r="I34" s="49" t="s">
        <v>142</v>
      </c>
      <c r="J34" s="53" t="s">
        <v>120</v>
      </c>
    </row>
    <row r="35" spans="2:10" ht="15.75" thickBot="1" x14ac:dyDescent="0.3">
      <c r="B35" s="46" t="s">
        <v>143</v>
      </c>
      <c r="C35" s="46">
        <v>7350</v>
      </c>
      <c r="D35" s="46">
        <v>190101710</v>
      </c>
      <c r="E35" s="55" t="s">
        <v>144</v>
      </c>
      <c r="F35" s="57">
        <v>939</v>
      </c>
      <c r="G35" s="46" t="s">
        <v>19</v>
      </c>
      <c r="H35" s="46" t="s">
        <v>145</v>
      </c>
      <c r="I35" s="49" t="s">
        <v>146</v>
      </c>
      <c r="J35" s="53" t="s">
        <v>121</v>
      </c>
    </row>
    <row r="36" spans="2:10" ht="15.75" thickBot="1" x14ac:dyDescent="0.3">
      <c r="B36" s="46" t="s">
        <v>147</v>
      </c>
      <c r="C36" s="46">
        <v>11025</v>
      </c>
      <c r="D36" s="46">
        <v>190101710</v>
      </c>
      <c r="E36" s="55" t="s">
        <v>148</v>
      </c>
      <c r="F36" s="57" t="s">
        <v>149</v>
      </c>
      <c r="G36" s="46" t="s">
        <v>18</v>
      </c>
      <c r="H36" s="46" t="s">
        <v>150</v>
      </c>
      <c r="I36" s="49" t="s">
        <v>87</v>
      </c>
      <c r="J36" s="53" t="s">
        <v>122</v>
      </c>
    </row>
    <row r="37" spans="2:10" ht="15.75" thickBot="1" x14ac:dyDescent="0.3">
      <c r="B37" s="46" t="s">
        <v>151</v>
      </c>
      <c r="C37" s="46">
        <v>55125</v>
      </c>
      <c r="D37" s="46">
        <v>190101710</v>
      </c>
      <c r="E37" s="55">
        <v>863</v>
      </c>
      <c r="F37" s="57" t="s">
        <v>152</v>
      </c>
      <c r="G37" s="46" t="s">
        <v>17</v>
      </c>
      <c r="H37" s="46" t="s">
        <v>153</v>
      </c>
      <c r="I37" s="49" t="s">
        <v>95</v>
      </c>
      <c r="J37" s="53" t="s">
        <v>123</v>
      </c>
    </row>
    <row r="38" spans="2:10" ht="15.75" thickBot="1" x14ac:dyDescent="0.3">
      <c r="B38" s="46" t="s">
        <v>154</v>
      </c>
      <c r="C38" s="46">
        <v>55125</v>
      </c>
      <c r="D38" s="46">
        <v>190101710</v>
      </c>
      <c r="E38" s="56" t="s">
        <v>155</v>
      </c>
      <c r="F38" s="66" t="s">
        <v>156</v>
      </c>
      <c r="G38" s="46" t="s">
        <v>16</v>
      </c>
      <c r="H38" s="46" t="s">
        <v>157</v>
      </c>
      <c r="I38" s="49" t="s">
        <v>40</v>
      </c>
      <c r="J38" s="53" t="s">
        <v>124</v>
      </c>
    </row>
  </sheetData>
  <mergeCells count="4">
    <mergeCell ref="B2:J2"/>
    <mergeCell ref="B10:J10"/>
    <mergeCell ref="B18:J18"/>
    <mergeCell ref="B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Asignación De Discos 1</vt:lpstr>
      <vt:lpstr>Asignación De Discos 2</vt:lpstr>
      <vt:lpstr>Parametros Discos Symmetrix</vt:lpstr>
      <vt:lpstr>Parametros Discos Clariion</vt:lpstr>
      <vt:lpstr>Hoja1</vt:lpstr>
    </vt:vector>
  </TitlesOfParts>
  <Company>Grupo Bancolombia S.A.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BANCOLOMBIA S.A.</dc:creator>
  <cp:lastModifiedBy>John Edward Naranjo Herrera</cp:lastModifiedBy>
  <dcterms:created xsi:type="dcterms:W3CDTF">2010-05-05T12:20:25Z</dcterms:created>
  <dcterms:modified xsi:type="dcterms:W3CDTF">2012-08-06T18:50:14Z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1203980489</vt:i4>
  </property>
  <property fmtid="{D5CDD505-2E9C-101B-9397-08002B2CF9AE}" pid="3" name="_NewReviewCycle">
    <vt:lpwstr/>
  </property>
  <property fmtid="{D5CDD505-2E9C-101B-9397-08002B2CF9AE}" pid="4" name="_EmailSubject">
    <vt:lpwstr>Nuevo pastel</vt:lpwstr>
  </property>
  <property fmtid="{D5CDD505-2E9C-101B-9397-08002B2CF9AE}" pid="5" name="_AuthorEmail">
    <vt:lpwstr>FLAPEREZ@ValoresBancolombia.com</vt:lpwstr>
  </property>
  <property fmtid="{D5CDD505-2E9C-101B-9397-08002B2CF9AE}" pid="6" name="_AuthorEmailDisplayName">
    <vt:lpwstr>Flabio Alberto Perez Gomez</vt:lpwstr>
  </property>
  <property fmtid="{D5CDD505-2E9C-101B-9397-08002B2CF9AE}" pid="7" name="_PreviousAdHocReviewCycleID">
    <vt:i4>-237794410</vt:i4>
  </property>
  <property fmtid="{D5CDD505-2E9C-101B-9397-08002B2CF9AE}" pid="8" name="_ReviewingToolsShownOnce">
    <vt:lpwstr/>
  </property>
</Properties>
</file>